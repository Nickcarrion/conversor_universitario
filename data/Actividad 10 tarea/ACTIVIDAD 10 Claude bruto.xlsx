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DAD 10" sheetId="1" state="visible" r:id="rId3"/>
  </sheets>
  <definedNames>
    <definedName function="false" hidden="false" localSheetId="0" name="_xlnm.Print_Area" vbProcedure="false">'ACTIVIDAD 10'!$A$1:$I$102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<sst xmlns="http://schemas.openxmlformats.org/spreadsheetml/2006/main" count="103" uniqueCount="69">
  <si>
    <t xml:space="preserve">ACTIVIDAD APLICATIVA N° 10</t>
  </si>
  <si>
    <t xml:space="preserve">Contabilidad de Sectores Económicos  |  NIC 40 – Propiedades de inversión</t>
  </si>
  <si>
    <t xml:space="preserve">Transferencia de un inmueble de uso propio (NIC 16) a propiedad de inversión</t>
  </si>
  <si>
    <t xml:space="preserve">CASO 1 – PERUANITO SAC  (Modelo del costo)</t>
  </si>
  <si>
    <t xml:space="preserve">Local en Ventanilla adquirido en ene-2025 para uso como almacén. En nov-2025 se trasladan a San Juan de Lurigancho y deciden alquilarlo el año siguiente, por lo que el inmueble se reclasifica a propiedad de inversión. Al no existir mercado inmobiliario activo, se mide bajo el modelo del costo según tasación del perito.</t>
  </si>
  <si>
    <t xml:space="preserve">DATOS</t>
  </si>
  <si>
    <t xml:space="preserve">Costo del local (ene-2025)</t>
  </si>
  <si>
    <t xml:space="preserve">Valor de tasación (dic-2025)</t>
  </si>
  <si>
    <t xml:space="preserve">Vida útil estimada</t>
  </si>
  <si>
    <t xml:space="preserve">30 años</t>
  </si>
  <si>
    <t xml:space="preserve">Distrito</t>
  </si>
  <si>
    <t xml:space="preserve">Ventanilla</t>
  </si>
  <si>
    <t xml:space="preserve">Modelo de medición</t>
  </si>
  <si>
    <t xml:space="preserve">Costo</t>
  </si>
  <si>
    <t xml:space="preserve">CÁLCULO DE LA DESVALORIZACIÓN</t>
  </si>
  <si>
    <t xml:space="preserve">Depreciación del período 2025</t>
  </si>
  <si>
    <t xml:space="preserve">Costo de adquisición</t>
  </si>
  <si>
    <t xml:space="preserve">(-) Depreciación del período</t>
  </si>
  <si>
    <t xml:space="preserve">(=) Valor neto en libros</t>
  </si>
  <si>
    <t xml:space="preserve">(-) Valor de tasación</t>
  </si>
  <si>
    <t xml:space="preserve">(=) Disminución del valor</t>
  </si>
  <si>
    <t xml:space="preserve">DESARROLLO – LIBRO DIARIO</t>
  </si>
  <si>
    <t xml:space="preserve">Asiento</t>
  </si>
  <si>
    <t xml:space="preserve">Fecha</t>
  </si>
  <si>
    <t xml:space="preserve">Glosa / Descripción</t>
  </si>
  <si>
    <t xml:space="preserve">Cuenta</t>
  </si>
  <si>
    <t xml:space="preserve">Debe</t>
  </si>
  <si>
    <t xml:space="preserve">Haber</t>
  </si>
  <si>
    <t xml:space="preserve">Reconocimiento de la compra del local</t>
  </si>
  <si>
    <t xml:space="preserve">x) Por la adquisición del inmueble (almacén)</t>
  </si>
  <si>
    <t xml:space="preserve">x) 768,000 / 30 años</t>
  </si>
  <si>
    <t xml:space="preserve">Destino del gasto – depreciación</t>
  </si>
  <si>
    <t xml:space="preserve">Medición posterior – traslado a inversión inmobiliaria</t>
  </si>
  <si>
    <t xml:space="preserve">x) Reclasificación del inmueble (33 a 31.2)</t>
  </si>
  <si>
    <t xml:space="preserve">Traslado de la depreciación acumulada</t>
  </si>
  <si>
    <t xml:space="preserve">x) Reclasificación de la depreciación (39.5 a 39.1)</t>
  </si>
  <si>
    <t xml:space="preserve">Reconocimiento de la desvalorización</t>
  </si>
  <si>
    <t xml:space="preserve">x) Valor neto 742,400 - tasación 685,000</t>
  </si>
  <si>
    <t xml:space="preserve">Destino del gasto – desvalorización</t>
  </si>
  <si>
    <t xml:space="preserve">CASO 2 – LOS ANDES SAC  (Modelo del valor razonable)</t>
  </si>
  <si>
    <t xml:space="preserve">Local en Miraflores adquirido en ene-2025 como almacén principal. Los socios se trasladan a Santa Anita y deciden manejar el inmueble como inversión. Como existe mercado inmobiliario activo, se mide bajo el modelo del valor razonable al cierre del ejercicio 2025.</t>
  </si>
  <si>
    <t xml:space="preserve">Valor razonable (dic-2025)</t>
  </si>
  <si>
    <t xml:space="preserve">25 años</t>
  </si>
  <si>
    <t xml:space="preserve">Miraflores</t>
  </si>
  <si>
    <t xml:space="preserve">Valor razonable</t>
  </si>
  <si>
    <t xml:space="preserve">(-) Valor razonable</t>
  </si>
  <si>
    <t xml:space="preserve">x) 785,000 / 25 años</t>
  </si>
  <si>
    <t xml:space="preserve">x) Reversión de la depreciación acumulada</t>
  </si>
  <si>
    <t xml:space="preserve">x) Baja del inmueble en uso propio (33)</t>
  </si>
  <si>
    <t xml:space="preserve">Reconocimiento de la pérdida por valor razonable</t>
  </si>
  <si>
    <t xml:space="preserve">x) Valor neto 753,600 - V. razonable 710,000</t>
  </si>
  <si>
    <t xml:space="preserve">Nota: la cuenta 66 (medición a valor razonable) no tiene destino; afecta directamente el resultado del ejercicio.</t>
  </si>
  <si>
    <t xml:space="preserve">CASO 3 – LIMA SA  (Reclasificación de uso propio a inversión)</t>
  </si>
  <si>
    <t xml:space="preserve">Edificio que era la sede de la empresa (terreno 10% + edificación 90%). En 2025 se cambian de edificio y alquilan el antiguo para generar ingresos, por lo que se reclasifica a propiedad de inversión arrastrando su depreciación acumulada. Al no contar con tasación ni valor razonable, la transferencia se realiza al valor en libros (NIC 40, párrafo 59).</t>
  </si>
  <si>
    <t xml:space="preserve">DATOS Y CÁLCULOS</t>
  </si>
  <si>
    <t xml:space="preserve">Precio de adquisición del edificio</t>
  </si>
  <si>
    <t xml:space="preserve">   Terreno (10%)</t>
  </si>
  <si>
    <t xml:space="preserve">   Edificación (90%)</t>
  </si>
  <si>
    <t xml:space="preserve">Depreciación acumulada</t>
  </si>
  <si>
    <t xml:space="preserve">Traslado del inmueble a inversión inmobiliaria</t>
  </si>
  <si>
    <t xml:space="preserve">x) Terreno reclasificado (33.1 a 31.1)</t>
  </si>
  <si>
    <t xml:space="preserve">x) Edificación reclasificada (33.2 a 31.2)</t>
  </si>
  <si>
    <t xml:space="preserve">Referencia de cuentas (PCGE)</t>
  </si>
  <si>
    <t xml:space="preserve">33111 Terrenos · 33211 Edificaciones (inmueble de uso propio – NIC 16)</t>
  </si>
  <si>
    <t xml:space="preserve">31111 Inversiones inmobiliarias – Terrenos · 31211 Inversiones inmobiliarias – Edificaciones (NIC 40)</t>
  </si>
  <si>
    <t xml:space="preserve">39521 Deprec. acum. inmuebles, maq. y equipo – Edificaciones · 3911 Deprec. acum. inversiones inmobiliarias</t>
  </si>
  <si>
    <t xml:space="preserve">36121 Desvalorización acum. inversiones inmobiliarias · 68812 Valuación – desvalorización inv. inmobiliarias</t>
  </si>
  <si>
    <t xml:space="preserve">6814 Valuación – depreciación de edificaciones · 6621 Pérdida por medición de activos al valor razonable</t>
  </si>
  <si>
    <t xml:space="preserve">4654 Cuentas por pagar diversas – inmuebles · 94 Gastos administrativos · 78 / 79 Destino del gasto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</si>
</sst>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S/&quot;* #,##0.00_-;&quot;-S/&quot;* #,##0.00_-;_-&quot;S/&quot;* \-??_-;_-@_-"/>
    <numFmt numFmtId="166" formatCode="#,##0.00"/>
    <numFmt numFmtId="167" formatCode="mmm\-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9" min="8" style="0" width="15"/>
  </cols>
  <sheetData>
    <row r="1" customFormat="false" ht="15" hidden="false" customHeight="false" outlineLevel="0" collapsed="false">
      <c r="D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5" customFormat="false" ht="15" hidden="false" customHeight="false" outlineLevel="0" collapsed="false">
      <c r="B5" s="3" t="s">
        <v>3</v>
      </c>
    </row>
    <row r="6" customFormat="false" ht="42" hidden="false" customHeight="true" outlineLevel="0" collapsed="false">
      <c r="B6" s="4" t="s">
        <v>4</v>
      </c>
      <c r="C6" s="4"/>
      <c r="D6" s="4"/>
      <c r="E6" s="4"/>
      <c r="F6" s="4"/>
      <c r="G6" s="4"/>
      <c r="H6" s="4"/>
      <c r="I6" s="4"/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6" t="s">
        <v>6</v>
      </c>
      <c r="C9" s="6"/>
      <c r="D9" s="6"/>
      <c r="E9" s="6"/>
      <c r="F9" s="7" t="n">
        <v>768000</v>
      </c>
    </row>
    <row r="10" customFormat="false" ht="15" hidden="false" customHeight="false" outlineLevel="0" collapsed="false">
      <c r="B10" s="6" t="s">
        <v>7</v>
      </c>
      <c r="C10" s="6"/>
      <c r="D10" s="6"/>
      <c r="E10" s="6"/>
      <c r="F10" s="7" t="n">
        <v>685000</v>
      </c>
    </row>
    <row r="11" customFormat="false" ht="15" hidden="false" customHeight="false" outlineLevel="0" collapsed="false">
      <c r="B11" s="6" t="s">
        <v>8</v>
      </c>
      <c r="C11" s="6"/>
      <c r="D11" s="6"/>
      <c r="E11" s="6"/>
      <c r="F11" s="8" t="s">
        <v>9</v>
      </c>
    </row>
    <row r="12" customFormat="false" ht="15" hidden="false" customHeight="false" outlineLevel="0" collapsed="false">
      <c r="B12" s="6" t="s">
        <v>10</v>
      </c>
      <c r="C12" s="6"/>
      <c r="D12" s="6"/>
      <c r="E12" s="6"/>
      <c r="F12" s="8" t="s">
        <v>11</v>
      </c>
    </row>
    <row r="13" customFormat="false" ht="15" hidden="false" customHeight="false" outlineLevel="0" collapsed="false">
      <c r="B13" s="6" t="s">
        <v>12</v>
      </c>
      <c r="C13" s="6"/>
      <c r="D13" s="6"/>
      <c r="E13" s="6"/>
      <c r="F13" s="8" t="s">
        <v>13</v>
      </c>
    </row>
    <row r="15" customFormat="false" ht="15" hidden="false" customHeight="false" outlineLevel="0" collapsed="false">
      <c r="B15" s="5" t="s">
        <v>14</v>
      </c>
    </row>
    <row r="16" customFormat="false" ht="15" hidden="false" customHeight="false" outlineLevel="0" collapsed="false">
      <c r="B16" s="6" t="s">
        <v>15</v>
      </c>
      <c r="C16" s="6"/>
      <c r="D16" s="6"/>
      <c r="E16" s="6"/>
      <c r="F16" s="9" t="n">
        <f aca="false">F9/30</f>
        <v>25600</v>
      </c>
    </row>
    <row r="17" customFormat="false" ht="15" hidden="false" customHeight="false" outlineLevel="0" collapsed="false">
      <c r="B17" s="6" t="s">
        <v>16</v>
      </c>
      <c r="C17" s="6"/>
      <c r="D17" s="6"/>
      <c r="E17" s="6"/>
      <c r="F17" s="9" t="n">
        <f aca="false">F9</f>
        <v>768000</v>
      </c>
    </row>
    <row r="18" customFormat="false" ht="15" hidden="false" customHeight="false" outlineLevel="0" collapsed="false">
      <c r="B18" s="6" t="s">
        <v>17</v>
      </c>
      <c r="C18" s="6"/>
      <c r="D18" s="6"/>
      <c r="E18" s="6"/>
      <c r="F18" s="9" t="n">
        <f aca="false">-F16</f>
        <v>-25600</v>
      </c>
    </row>
    <row r="19" customFormat="false" ht="15" hidden="false" customHeight="false" outlineLevel="0" collapsed="false">
      <c r="B19" s="10" t="s">
        <v>18</v>
      </c>
      <c r="C19" s="10"/>
      <c r="D19" s="10"/>
      <c r="E19" s="10"/>
      <c r="F19" s="11" t="n">
        <f aca="false">F17+F18</f>
        <v>742400</v>
      </c>
    </row>
    <row r="20" customFormat="false" ht="15" hidden="false" customHeight="false" outlineLevel="0" collapsed="false">
      <c r="B20" s="6" t="s">
        <v>19</v>
      </c>
      <c r="C20" s="6"/>
      <c r="D20" s="6"/>
      <c r="E20" s="6"/>
      <c r="F20" s="9" t="n">
        <f aca="false">-F10</f>
        <v>-685000</v>
      </c>
    </row>
    <row r="21" customFormat="false" ht="15" hidden="false" customHeight="false" outlineLevel="0" collapsed="false">
      <c r="B21" s="10" t="s">
        <v>20</v>
      </c>
      <c r="C21" s="10"/>
      <c r="D21" s="10"/>
      <c r="E21" s="10"/>
      <c r="F21" s="11" t="n">
        <f aca="false">F19+F20</f>
        <v>57400</v>
      </c>
    </row>
    <row r="23" customFormat="false" ht="15" hidden="false" customHeight="false" outlineLevel="0" collapsed="false">
      <c r="B23" s="5" t="s">
        <v>21</v>
      </c>
    </row>
    <row r="24" customFormat="false" ht="15" hidden="false" customHeight="false" outlineLevel="0" collapsed="false">
      <c r="B24" s="12" t="s">
        <v>22</v>
      </c>
      <c r="C24" s="12" t="s">
        <v>23</v>
      </c>
      <c r="D24" s="12" t="s">
        <v>24</v>
      </c>
      <c r="G24" s="12" t="s">
        <v>25</v>
      </c>
      <c r="H24" s="13" t="s">
        <v>26</v>
      </c>
      <c r="I24" s="13" t="s">
        <v>27</v>
      </c>
    </row>
    <row r="25" customFormat="false" ht="15" hidden="false" customHeight="false" outlineLevel="0" collapsed="false">
      <c r="B25" s="14" t="n">
        <v>1</v>
      </c>
      <c r="C25" s="15" t="n">
        <v>45658</v>
      </c>
      <c r="D25" s="16" t="s">
        <v>28</v>
      </c>
      <c r="G25" s="17" t="n">
        <v>33211</v>
      </c>
      <c r="H25" s="18" t="n">
        <v>768000</v>
      </c>
    </row>
    <row r="26" customFormat="false" ht="15" hidden="false" customHeight="false" outlineLevel="0" collapsed="false">
      <c r="B26" s="19"/>
      <c r="C26" s="19"/>
      <c r="D26" s="20" t="s">
        <v>29</v>
      </c>
      <c r="E26" s="19"/>
      <c r="F26" s="19"/>
      <c r="G26" s="21" t="n">
        <v>4654</v>
      </c>
      <c r="H26" s="19"/>
      <c r="I26" s="22" t="n">
        <v>768000</v>
      </c>
    </row>
    <row r="27" customFormat="false" ht="15" hidden="false" customHeight="false" outlineLevel="0" collapsed="false">
      <c r="B27" s="14" t="n">
        <v>2</v>
      </c>
      <c r="C27" s="15" t="n">
        <v>45992</v>
      </c>
      <c r="D27" s="16" t="s">
        <v>15</v>
      </c>
      <c r="G27" s="17" t="n">
        <v>6814</v>
      </c>
      <c r="H27" s="18" t="n">
        <f aca="false">F16</f>
        <v>25600</v>
      </c>
    </row>
    <row r="28" customFormat="false" ht="15" hidden="false" customHeight="false" outlineLevel="0" collapsed="false">
      <c r="B28" s="19"/>
      <c r="C28" s="19"/>
      <c r="D28" s="20" t="s">
        <v>30</v>
      </c>
      <c r="E28" s="19"/>
      <c r="F28" s="19"/>
      <c r="G28" s="21" t="n">
        <v>39521</v>
      </c>
      <c r="H28" s="19"/>
      <c r="I28" s="22" t="n">
        <f aca="false">F16</f>
        <v>25600</v>
      </c>
    </row>
    <row r="29" customFormat="false" ht="15" hidden="false" customHeight="false" outlineLevel="0" collapsed="false">
      <c r="B29" s="14" t="n">
        <v>3</v>
      </c>
      <c r="C29" s="15" t="n">
        <v>45992</v>
      </c>
      <c r="D29" s="16" t="s">
        <v>31</v>
      </c>
      <c r="G29" s="17" t="n">
        <v>94</v>
      </c>
      <c r="H29" s="18" t="n">
        <f aca="false">F16</f>
        <v>25600</v>
      </c>
    </row>
    <row r="30" customFormat="false" ht="15" hidden="false" customHeight="false" outlineLevel="0" collapsed="false">
      <c r="B30" s="19"/>
      <c r="C30" s="19"/>
      <c r="D30" s="19"/>
      <c r="E30" s="19"/>
      <c r="F30" s="19"/>
      <c r="G30" s="21" t="n">
        <v>79</v>
      </c>
      <c r="H30" s="19"/>
      <c r="I30" s="22" t="n">
        <f aca="false">F16</f>
        <v>25600</v>
      </c>
    </row>
    <row r="31" customFormat="false" ht="15" hidden="false" customHeight="false" outlineLevel="0" collapsed="false">
      <c r="B31" s="14" t="n">
        <v>4</v>
      </c>
      <c r="C31" s="15" t="n">
        <v>45992</v>
      </c>
      <c r="D31" s="16" t="s">
        <v>32</v>
      </c>
      <c r="G31" s="17" t="n">
        <v>31211</v>
      </c>
      <c r="H31" s="18" t="n">
        <f aca="false">F9</f>
        <v>768000</v>
      </c>
    </row>
    <row r="32" customFormat="false" ht="15" hidden="false" customHeight="false" outlineLevel="0" collapsed="false">
      <c r="B32" s="19"/>
      <c r="C32" s="19"/>
      <c r="D32" s="20" t="s">
        <v>33</v>
      </c>
      <c r="E32" s="19"/>
      <c r="F32" s="19"/>
      <c r="G32" s="21" t="n">
        <v>33211</v>
      </c>
      <c r="H32" s="19"/>
      <c r="I32" s="22" t="n">
        <f aca="false">F9</f>
        <v>768000</v>
      </c>
    </row>
    <row r="33" customFormat="false" ht="15" hidden="false" customHeight="false" outlineLevel="0" collapsed="false">
      <c r="B33" s="14" t="n">
        <v>5</v>
      </c>
      <c r="C33" s="15" t="n">
        <v>45992</v>
      </c>
      <c r="D33" s="16" t="s">
        <v>34</v>
      </c>
      <c r="G33" s="17" t="n">
        <v>39521</v>
      </c>
      <c r="H33" s="18" t="n">
        <f aca="false">F16</f>
        <v>25600</v>
      </c>
    </row>
    <row r="34" customFormat="false" ht="15" hidden="false" customHeight="false" outlineLevel="0" collapsed="false">
      <c r="B34" s="19"/>
      <c r="C34" s="19"/>
      <c r="D34" s="20" t="s">
        <v>35</v>
      </c>
      <c r="E34" s="19"/>
      <c r="F34" s="19"/>
      <c r="G34" s="21" t="n">
        <v>3911</v>
      </c>
      <c r="H34" s="19"/>
      <c r="I34" s="22" t="n">
        <f aca="false">F16</f>
        <v>25600</v>
      </c>
    </row>
    <row r="35" customFormat="false" ht="15" hidden="false" customHeight="false" outlineLevel="0" collapsed="false">
      <c r="B35" s="14" t="n">
        <v>6</v>
      </c>
      <c r="C35" s="15" t="n">
        <v>45992</v>
      </c>
      <c r="D35" s="16" t="s">
        <v>36</v>
      </c>
      <c r="G35" s="17" t="n">
        <v>68812</v>
      </c>
      <c r="H35" s="18" t="n">
        <f aca="false">F21</f>
        <v>57400</v>
      </c>
    </row>
    <row r="36" customFormat="false" ht="15" hidden="false" customHeight="false" outlineLevel="0" collapsed="false">
      <c r="B36" s="19"/>
      <c r="C36" s="19"/>
      <c r="D36" s="20" t="s">
        <v>37</v>
      </c>
      <c r="E36" s="19"/>
      <c r="F36" s="19"/>
      <c r="G36" s="21" t="n">
        <v>36121</v>
      </c>
      <c r="H36" s="19"/>
      <c r="I36" s="22" t="n">
        <f aca="false">F21</f>
        <v>57400</v>
      </c>
    </row>
    <row r="37" customFormat="false" ht="15" hidden="false" customHeight="false" outlineLevel="0" collapsed="false">
      <c r="B37" s="14" t="n">
        <v>7</v>
      </c>
      <c r="C37" s="15" t="n">
        <v>45992</v>
      </c>
      <c r="D37" s="16" t="s">
        <v>38</v>
      </c>
      <c r="G37" s="17" t="n">
        <v>94</v>
      </c>
      <c r="H37" s="18" t="n">
        <f aca="false">F21</f>
        <v>57400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G38" s="21" t="n">
        <v>78</v>
      </c>
      <c r="H38" s="19"/>
      <c r="I38" s="22" t="n">
        <f aca="false">F21</f>
        <v>57400</v>
      </c>
    </row>
    <row r="41" customFormat="false" ht="15" hidden="false" customHeight="false" outlineLevel="0" collapsed="false">
      <c r="B41" s="3" t="s">
        <v>39</v>
      </c>
    </row>
    <row r="42" customFormat="false" ht="42" hidden="false" customHeight="true" outlineLevel="0" collapsed="false">
      <c r="B42" s="4" t="s">
        <v>40</v>
      </c>
      <c r="C42" s="4"/>
      <c r="D42" s="4"/>
      <c r="E42" s="4"/>
      <c r="F42" s="4"/>
      <c r="G42" s="4"/>
      <c r="H42" s="4"/>
      <c r="I42" s="4"/>
    </row>
    <row r="44" customFormat="false" ht="15" hidden="false" customHeight="false" outlineLevel="0" collapsed="false">
      <c r="B44" s="5" t="s">
        <v>5</v>
      </c>
    </row>
    <row r="45" customFormat="false" ht="15" hidden="false" customHeight="false" outlineLevel="0" collapsed="false">
      <c r="B45" s="6" t="s">
        <v>6</v>
      </c>
      <c r="C45" s="6"/>
      <c r="D45" s="6"/>
      <c r="E45" s="6"/>
      <c r="F45" s="7" t="n">
        <v>785000</v>
      </c>
    </row>
    <row r="46" customFormat="false" ht="15" hidden="false" customHeight="false" outlineLevel="0" collapsed="false">
      <c r="B46" s="6" t="s">
        <v>41</v>
      </c>
      <c r="C46" s="6"/>
      <c r="D46" s="6"/>
      <c r="E46" s="6"/>
      <c r="F46" s="7" t="n">
        <v>710000</v>
      </c>
    </row>
    <row r="47" customFormat="false" ht="15" hidden="false" customHeight="false" outlineLevel="0" collapsed="false">
      <c r="B47" s="6" t="s">
        <v>8</v>
      </c>
      <c r="C47" s="6"/>
      <c r="D47" s="6"/>
      <c r="E47" s="6"/>
      <c r="F47" s="8" t="s">
        <v>42</v>
      </c>
    </row>
    <row r="48" customFormat="false" ht="15" hidden="false" customHeight="false" outlineLevel="0" collapsed="false">
      <c r="B48" s="6" t="s">
        <v>10</v>
      </c>
      <c r="C48" s="6"/>
      <c r="D48" s="6"/>
      <c r="E48" s="6"/>
      <c r="F48" s="8" t="s">
        <v>43</v>
      </c>
    </row>
    <row r="49" customFormat="false" ht="15" hidden="false" customHeight="false" outlineLevel="0" collapsed="false">
      <c r="B49" s="6" t="s">
        <v>12</v>
      </c>
      <c r="C49" s="6"/>
      <c r="D49" s="6"/>
      <c r="E49" s="6"/>
      <c r="F49" s="8" t="s">
        <v>44</v>
      </c>
    </row>
    <row r="51" customFormat="false" ht="15" hidden="false" customHeight="false" outlineLevel="0" collapsed="false">
      <c r="B51" s="5" t="s">
        <v>14</v>
      </c>
    </row>
    <row r="52" customFormat="false" ht="15" hidden="false" customHeight="false" outlineLevel="0" collapsed="false">
      <c r="B52" s="6" t="s">
        <v>15</v>
      </c>
      <c r="C52" s="6"/>
      <c r="D52" s="6"/>
      <c r="E52" s="6"/>
      <c r="F52" s="9" t="n">
        <f aca="false">F45/25</f>
        <v>31400</v>
      </c>
    </row>
    <row r="53" customFormat="false" ht="15" hidden="false" customHeight="false" outlineLevel="0" collapsed="false">
      <c r="B53" s="6" t="s">
        <v>16</v>
      </c>
      <c r="C53" s="6"/>
      <c r="D53" s="6"/>
      <c r="E53" s="6"/>
      <c r="F53" s="9" t="n">
        <f aca="false">F45</f>
        <v>785000</v>
      </c>
    </row>
    <row r="54" customFormat="false" ht="15" hidden="false" customHeight="false" outlineLevel="0" collapsed="false">
      <c r="B54" s="6" t="s">
        <v>17</v>
      </c>
      <c r="C54" s="6"/>
      <c r="D54" s="6"/>
      <c r="E54" s="6"/>
      <c r="F54" s="9" t="n">
        <f aca="false">-F52</f>
        <v>-31400</v>
      </c>
    </row>
    <row r="55" customFormat="false" ht="15" hidden="false" customHeight="false" outlineLevel="0" collapsed="false">
      <c r="B55" s="10" t="s">
        <v>18</v>
      </c>
      <c r="C55" s="10"/>
      <c r="D55" s="10"/>
      <c r="E55" s="10"/>
      <c r="F55" s="11" t="n">
        <f aca="false">F53+F54</f>
        <v>753600</v>
      </c>
    </row>
    <row r="56" customFormat="false" ht="15" hidden="false" customHeight="false" outlineLevel="0" collapsed="false">
      <c r="B56" s="6" t="s">
        <v>45</v>
      </c>
      <c r="C56" s="6"/>
      <c r="D56" s="6"/>
      <c r="E56" s="6"/>
      <c r="F56" s="9" t="n">
        <f aca="false">-F46</f>
        <v>-710000</v>
      </c>
    </row>
    <row r="57" customFormat="false" ht="15" hidden="false" customHeight="false" outlineLevel="0" collapsed="false">
      <c r="B57" s="10" t="s">
        <v>20</v>
      </c>
      <c r="C57" s="10"/>
      <c r="D57" s="10"/>
      <c r="E57" s="10"/>
      <c r="F57" s="11" t="n">
        <f aca="false">F55+F56</f>
        <v>43600</v>
      </c>
    </row>
    <row r="59" customFormat="false" ht="15" hidden="false" customHeight="false" outlineLevel="0" collapsed="false">
      <c r="B59" s="5" t="s">
        <v>21</v>
      </c>
    </row>
    <row r="60" customFormat="false" ht="15" hidden="false" customHeight="false" outlineLevel="0" collapsed="false">
      <c r="B60" s="12" t="s">
        <v>22</v>
      </c>
      <c r="C60" s="12" t="s">
        <v>23</v>
      </c>
      <c r="D60" s="12" t="s">
        <v>24</v>
      </c>
      <c r="G60" s="12" t="s">
        <v>25</v>
      </c>
      <c r="H60" s="13" t="s">
        <v>26</v>
      </c>
      <c r="I60" s="13" t="s">
        <v>27</v>
      </c>
    </row>
    <row r="61" customFormat="false" ht="15" hidden="false" customHeight="false" outlineLevel="0" collapsed="false">
      <c r="B61" s="14" t="n">
        <v>1</v>
      </c>
      <c r="C61" s="15" t="n">
        <v>45658</v>
      </c>
      <c r="D61" s="16" t="s">
        <v>28</v>
      </c>
      <c r="G61" s="17" t="n">
        <v>33211</v>
      </c>
      <c r="H61" s="18" t="n">
        <v>785000</v>
      </c>
    </row>
    <row r="62" customFormat="false" ht="15" hidden="false" customHeight="false" outlineLevel="0" collapsed="false">
      <c r="B62" s="19"/>
      <c r="C62" s="19"/>
      <c r="D62" s="20" t="s">
        <v>29</v>
      </c>
      <c r="E62" s="19"/>
      <c r="F62" s="19"/>
      <c r="G62" s="21" t="n">
        <v>4654</v>
      </c>
      <c r="H62" s="19"/>
      <c r="I62" s="22" t="n">
        <v>785000</v>
      </c>
    </row>
    <row r="63" customFormat="false" ht="15" hidden="false" customHeight="false" outlineLevel="0" collapsed="false">
      <c r="B63" s="14" t="n">
        <v>2</v>
      </c>
      <c r="C63" s="15" t="n">
        <v>45992</v>
      </c>
      <c r="D63" s="16" t="s">
        <v>15</v>
      </c>
      <c r="G63" s="17" t="n">
        <v>6814</v>
      </c>
      <c r="H63" s="18" t="n">
        <f aca="false">F52</f>
        <v>31400</v>
      </c>
    </row>
    <row r="64" customFormat="false" ht="15" hidden="false" customHeight="false" outlineLevel="0" collapsed="false">
      <c r="B64" s="19"/>
      <c r="C64" s="19"/>
      <c r="D64" s="20" t="s">
        <v>46</v>
      </c>
      <c r="E64" s="19"/>
      <c r="F64" s="19"/>
      <c r="G64" s="21" t="n">
        <v>39521</v>
      </c>
      <c r="H64" s="19"/>
      <c r="I64" s="22" t="n">
        <f aca="false">F52</f>
        <v>31400</v>
      </c>
    </row>
    <row r="65" customFormat="false" ht="15" hidden="false" customHeight="false" outlineLevel="0" collapsed="false">
      <c r="B65" s="14" t="n">
        <v>3</v>
      </c>
      <c r="C65" s="15" t="n">
        <v>45992</v>
      </c>
      <c r="D65" s="16" t="s">
        <v>31</v>
      </c>
      <c r="G65" s="17" t="n">
        <v>94</v>
      </c>
      <c r="H65" s="18" t="n">
        <f aca="false">F52</f>
        <v>31400</v>
      </c>
    </row>
    <row r="66" customFormat="false" ht="15" hidden="false" customHeight="false" outlineLevel="0" collapsed="false">
      <c r="B66" s="19"/>
      <c r="C66" s="19"/>
      <c r="D66" s="19"/>
      <c r="E66" s="19"/>
      <c r="F66" s="19"/>
      <c r="G66" s="21" t="n">
        <v>79</v>
      </c>
      <c r="H66" s="19"/>
      <c r="I66" s="22" t="n">
        <f aca="false">F52</f>
        <v>31400</v>
      </c>
    </row>
    <row r="67" customFormat="false" ht="15" hidden="false" customHeight="false" outlineLevel="0" collapsed="false">
      <c r="B67" s="14" t="n">
        <v>4</v>
      </c>
      <c r="C67" s="15" t="n">
        <v>45992</v>
      </c>
      <c r="D67" s="16" t="s">
        <v>32</v>
      </c>
      <c r="G67" s="17" t="n">
        <v>31211</v>
      </c>
      <c r="H67" s="18" t="n">
        <f aca="false">F55</f>
        <v>753600</v>
      </c>
    </row>
    <row r="68" customFormat="false" ht="15" hidden="false" customHeight="false" outlineLevel="0" collapsed="false">
      <c r="D68" s="16" t="s">
        <v>47</v>
      </c>
      <c r="G68" s="17" t="n">
        <v>39521</v>
      </c>
      <c r="H68" s="18" t="n">
        <f aca="false">F52</f>
        <v>31400</v>
      </c>
    </row>
    <row r="69" customFormat="false" ht="15" hidden="false" customHeight="false" outlineLevel="0" collapsed="false">
      <c r="B69" s="19"/>
      <c r="C69" s="19"/>
      <c r="D69" s="20" t="s">
        <v>48</v>
      </c>
      <c r="E69" s="19"/>
      <c r="F69" s="19"/>
      <c r="G69" s="21" t="n">
        <v>33211</v>
      </c>
      <c r="H69" s="19"/>
      <c r="I69" s="22" t="n">
        <f aca="false">F45</f>
        <v>785000</v>
      </c>
    </row>
    <row r="70" customFormat="false" ht="15" hidden="false" customHeight="false" outlineLevel="0" collapsed="false">
      <c r="B70" s="14" t="n">
        <v>5</v>
      </c>
      <c r="C70" s="15" t="n">
        <v>45992</v>
      </c>
      <c r="D70" s="16" t="s">
        <v>49</v>
      </c>
      <c r="G70" s="17" t="n">
        <v>6621</v>
      </c>
      <c r="H70" s="18" t="n">
        <f aca="false">F57</f>
        <v>43600</v>
      </c>
    </row>
    <row r="71" customFormat="false" ht="15" hidden="false" customHeight="false" outlineLevel="0" collapsed="false">
      <c r="B71" s="19"/>
      <c r="C71" s="19"/>
      <c r="D71" s="20" t="s">
        <v>50</v>
      </c>
      <c r="E71" s="19"/>
      <c r="F71" s="19"/>
      <c r="G71" s="21" t="n">
        <v>31211</v>
      </c>
      <c r="H71" s="19"/>
      <c r="I71" s="22" t="n">
        <f aca="false">F57</f>
        <v>43600</v>
      </c>
    </row>
    <row r="72" customFormat="false" ht="15" hidden="false" customHeight="false" outlineLevel="0" collapsed="false">
      <c r="B72" s="23" t="s">
        <v>51</v>
      </c>
      <c r="C72" s="23"/>
      <c r="D72" s="23"/>
      <c r="E72" s="23"/>
      <c r="F72" s="23"/>
      <c r="G72" s="23"/>
      <c r="H72" s="23"/>
      <c r="I72" s="23"/>
    </row>
    <row r="75" customFormat="false" ht="15" hidden="false" customHeight="false" outlineLevel="0" collapsed="false">
      <c r="B75" s="3" t="s">
        <v>52</v>
      </c>
    </row>
    <row r="76" customFormat="false" ht="54" hidden="false" customHeight="true" outlineLevel="0" collapsed="false">
      <c r="B76" s="4" t="s">
        <v>53</v>
      </c>
      <c r="C76" s="4"/>
      <c r="D76" s="4"/>
      <c r="E76" s="4"/>
      <c r="F76" s="4"/>
      <c r="G76" s="4"/>
      <c r="H76" s="4"/>
      <c r="I76" s="4"/>
    </row>
    <row r="78" customFormat="false" ht="15" hidden="false" customHeight="false" outlineLevel="0" collapsed="false">
      <c r="B78" s="5" t="s">
        <v>54</v>
      </c>
    </row>
    <row r="79" customFormat="false" ht="15" hidden="false" customHeight="false" outlineLevel="0" collapsed="false">
      <c r="B79" s="6" t="s">
        <v>55</v>
      </c>
      <c r="C79" s="6"/>
      <c r="D79" s="6"/>
      <c r="E79" s="6"/>
      <c r="F79" s="7" t="n">
        <v>1000000</v>
      </c>
    </row>
    <row r="80" customFormat="false" ht="15" hidden="false" customHeight="false" outlineLevel="0" collapsed="false">
      <c r="B80" s="6" t="s">
        <v>56</v>
      </c>
      <c r="C80" s="6"/>
      <c r="D80" s="6"/>
      <c r="E80" s="6"/>
      <c r="F80" s="7" t="n">
        <f aca="false">F79*0.1</f>
        <v>100000</v>
      </c>
    </row>
    <row r="81" customFormat="false" ht="15" hidden="false" customHeight="false" outlineLevel="0" collapsed="false">
      <c r="B81" s="6" t="s">
        <v>57</v>
      </c>
      <c r="C81" s="6"/>
      <c r="D81" s="6"/>
      <c r="E81" s="6"/>
      <c r="F81" s="7" t="n">
        <f aca="false">F79*0.9</f>
        <v>900000</v>
      </c>
    </row>
    <row r="82" customFormat="false" ht="15" hidden="false" customHeight="false" outlineLevel="0" collapsed="false">
      <c r="B82" s="6" t="s">
        <v>58</v>
      </c>
      <c r="C82" s="6"/>
      <c r="D82" s="6"/>
      <c r="E82" s="6"/>
      <c r="F82" s="7" t="n">
        <v>300000</v>
      </c>
    </row>
    <row r="83" customFormat="false" ht="15" hidden="false" customHeight="false" outlineLevel="0" collapsed="false">
      <c r="B83" s="10" t="s">
        <v>18</v>
      </c>
      <c r="C83" s="10"/>
      <c r="D83" s="10"/>
      <c r="E83" s="10"/>
      <c r="F83" s="24" t="n">
        <f aca="false">F79-F82</f>
        <v>700000</v>
      </c>
    </row>
    <row r="85" customFormat="false" ht="15" hidden="false" customHeight="false" outlineLevel="0" collapsed="false">
      <c r="B85" s="5" t="s">
        <v>21</v>
      </c>
    </row>
    <row r="86" customFormat="false" ht="15" hidden="false" customHeight="false" outlineLevel="0" collapsed="false">
      <c r="B86" s="12" t="s">
        <v>22</v>
      </c>
      <c r="C86" s="12" t="s">
        <v>23</v>
      </c>
      <c r="D86" s="12" t="s">
        <v>24</v>
      </c>
      <c r="G86" s="12" t="s">
        <v>25</v>
      </c>
      <c r="H86" s="13" t="s">
        <v>26</v>
      </c>
      <c r="I86" s="13" t="s">
        <v>27</v>
      </c>
    </row>
    <row r="87" customFormat="false" ht="15" hidden="false" customHeight="false" outlineLevel="0" collapsed="false">
      <c r="B87" s="14" t="n">
        <v>1</v>
      </c>
      <c r="C87" s="15" t="n">
        <v>45992</v>
      </c>
      <c r="D87" s="16" t="s">
        <v>59</v>
      </c>
      <c r="G87" s="17" t="n">
        <v>31111</v>
      </c>
      <c r="H87" s="18" t="n">
        <f aca="false">F80</f>
        <v>100000</v>
      </c>
    </row>
    <row r="88" customFormat="false" ht="15" hidden="false" customHeight="false" outlineLevel="0" collapsed="false">
      <c r="D88" s="16" t="s">
        <v>60</v>
      </c>
      <c r="G88" s="17" t="n">
        <v>31211</v>
      </c>
      <c r="H88" s="18" t="n">
        <f aca="false">F81</f>
        <v>900000</v>
      </c>
    </row>
    <row r="89" customFormat="false" ht="15" hidden="false" customHeight="false" outlineLevel="0" collapsed="false">
      <c r="D89" s="16" t="s">
        <v>61</v>
      </c>
      <c r="G89" s="17" t="n">
        <v>33111</v>
      </c>
      <c r="I89" s="18" t="n">
        <f aca="false">F80</f>
        <v>100000</v>
      </c>
    </row>
    <row r="90" customFormat="false" ht="15" hidden="false" customHeight="false" outlineLevel="0" collapsed="false">
      <c r="B90" s="19"/>
      <c r="C90" s="19"/>
      <c r="D90" s="19"/>
      <c r="E90" s="19"/>
      <c r="F90" s="19"/>
      <c r="G90" s="21" t="n">
        <v>33211</v>
      </c>
      <c r="H90" s="19"/>
      <c r="I90" s="22" t="n">
        <f aca="false">F81</f>
        <v>900000</v>
      </c>
    </row>
    <row r="91" customFormat="false" ht="15" hidden="false" customHeight="false" outlineLevel="0" collapsed="false">
      <c r="B91" s="14" t="n">
        <v>2</v>
      </c>
      <c r="C91" s="15" t="n">
        <v>45992</v>
      </c>
      <c r="D91" s="16" t="s">
        <v>34</v>
      </c>
      <c r="G91" s="17" t="n">
        <v>39521</v>
      </c>
      <c r="H91" s="18" t="n">
        <f aca="false">F82</f>
        <v>300000</v>
      </c>
    </row>
    <row r="92" customFormat="false" ht="15" hidden="false" customHeight="false" outlineLevel="0" collapsed="false">
      <c r="B92" s="19"/>
      <c r="C92" s="19"/>
      <c r="D92" s="20" t="s">
        <v>35</v>
      </c>
      <c r="E92" s="19"/>
      <c r="F92" s="19"/>
      <c r="G92" s="21" t="n">
        <v>3911</v>
      </c>
      <c r="H92" s="19"/>
      <c r="I92" s="22" t="n">
        <f aca="false">F82</f>
        <v>300000</v>
      </c>
    </row>
    <row r="95" customFormat="false" ht="15" hidden="false" customHeight="false" outlineLevel="0" collapsed="false">
      <c r="B95" s="25" t="s">
        <v>62</v>
      </c>
    </row>
    <row r="96" customFormat="false" ht="15" hidden="false" customHeight="false" outlineLevel="0" collapsed="false">
      <c r="B96" s="26" t="s">
        <v>63</v>
      </c>
      <c r="C96" s="26"/>
      <c r="D96" s="26"/>
      <c r="E96" s="26"/>
      <c r="F96" s="26"/>
      <c r="G96" s="26"/>
      <c r="H96" s="26"/>
      <c r="I96" s="26"/>
    </row>
    <row r="97" customFormat="false" ht="15" hidden="false" customHeight="false" outlineLevel="0" collapsed="false">
      <c r="B97" s="26" t="s">
        <v>64</v>
      </c>
      <c r="C97" s="26"/>
      <c r="D97" s="26"/>
      <c r="E97" s="26"/>
      <c r="F97" s="26"/>
      <c r="G97" s="26"/>
      <c r="H97" s="26"/>
      <c r="I97" s="26"/>
    </row>
    <row r="98" customFormat="false" ht="15" hidden="false" customHeight="false" outlineLevel="0" collapsed="false">
      <c r="B98" s="26" t="s">
        <v>65</v>
      </c>
      <c r="C98" s="26"/>
      <c r="D98" s="26"/>
      <c r="E98" s="26"/>
      <c r="F98" s="26"/>
      <c r="G98" s="26"/>
      <c r="H98" s="26"/>
      <c r="I98" s="26"/>
    </row>
    <row r="99" customFormat="false" ht="15" hidden="false" customHeight="false" outlineLevel="0" collapsed="false">
      <c r="B99" s="26" t="s">
        <v>66</v>
      </c>
      <c r="C99" s="26"/>
      <c r="D99" s="26"/>
      <c r="E99" s="26"/>
      <c r="F99" s="26"/>
      <c r="G99" s="26"/>
      <c r="H99" s="26"/>
      <c r="I99" s="26"/>
    </row>
    <row r="100" customFormat="false" ht="15" hidden="false" customHeight="false" outlineLevel="0" collapsed="false">
      <c r="B100" s="26" t="s">
        <v>67</v>
      </c>
      <c r="C100" s="26"/>
      <c r="D100" s="26"/>
      <c r="E100" s="26"/>
      <c r="F100" s="26"/>
      <c r="G100" s="26"/>
      <c r="H100" s="26"/>
      <c r="I100" s="26"/>
    </row>
    <row r="101" customFormat="false" ht="15" hidden="false" customHeight="false" outlineLevel="0" collapsed="false">
      <c r="B101" s="26" t="s">
        <v>68</v>
      </c>
      <c r="C101" s="26"/>
      <c r="D101" s="26"/>
      <c r="E101" s="26"/>
      <c r="F101" s="26"/>
      <c r="G101" s="26"/>
      <c r="H101" s="26"/>
      <c r="I101" s="26"/>
    </row>
  </sheetData>
  <mergeCells count="37">
    <mergeCell ref="B6:I6"/>
    <mergeCell ref="B9:E9"/>
    <mergeCell ref="B10:E10"/>
    <mergeCell ref="B11:E11"/>
    <mergeCell ref="B12:E12"/>
    <mergeCell ref="B13:E13"/>
    <mergeCell ref="B16:E16"/>
    <mergeCell ref="B17:E17"/>
    <mergeCell ref="B18:E18"/>
    <mergeCell ref="B19:E19"/>
    <mergeCell ref="B20:E20"/>
    <mergeCell ref="B21:E21"/>
    <mergeCell ref="B42:I42"/>
    <mergeCell ref="B45:E45"/>
    <mergeCell ref="B46:E46"/>
    <mergeCell ref="B47:E47"/>
    <mergeCell ref="B48:E48"/>
    <mergeCell ref="B49:E49"/>
    <mergeCell ref="B52:E52"/>
    <mergeCell ref="B53:E53"/>
    <mergeCell ref="B54:E54"/>
    <mergeCell ref="B55:E55"/>
    <mergeCell ref="B56:E56"/>
    <mergeCell ref="B57:E57"/>
    <mergeCell ref="B72:I72"/>
    <mergeCell ref="B76:I76"/>
    <mergeCell ref="B79:E79"/>
    <mergeCell ref="B80:E80"/>
    <mergeCell ref="B81:E81"/>
    <mergeCell ref="B82:E82"/>
    <mergeCell ref="B83:E83"/>
    <mergeCell ref="B96:I96"/>
    <mergeCell ref="B97:I97"/>
    <mergeCell ref="B98:I98"/>
    <mergeCell ref="B99:I99"/>
    <mergeCell ref="B100:I100"/>
    <mergeCell ref="B101:I101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36A8A1-618C-439B-A0EC-C50DE1548B87}"/>
</file>

<file path=customXml/itemProps2.xml><?xml version="1.0" encoding="utf-8"?>
<ds:datastoreItem xmlns:ds="http://schemas.openxmlformats.org/officeDocument/2006/customXml" ds:itemID="{7EA13C6B-ED78-4E66-8572-8A79AAF0D248}"/>
</file>

<file path=customXml/itemProps3.xml><?xml version="1.0" encoding="utf-8"?>
<ds:datastoreItem xmlns:ds="http://schemas.openxmlformats.org/officeDocument/2006/customXml" ds:itemID="{7D454328-FBF6-4E99-80D7-001A8A18795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2026-06-01T02:43:45Z</dcterms:created>
  <dcterms:modified xsi:type="dcterms:W3CDTF">2026-06-01T02:43:45Z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