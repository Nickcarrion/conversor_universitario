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03"/>
  <workbookPr/>
  <mc:AlternateContent xmlns:mc="http://schemas.openxmlformats.org/markup-compatibility/2006">
    <mc:Choice Requires="x15">
      <x15ac:absPath xmlns:x15ac="http://schemas.microsoft.com/office/spreadsheetml/2010/11/ac" url="https://usmppe.sharepoint.com/sites/GRUPODEESTUDIO_e74c92/Documentos compartidos/Grupo de estudio - CONTABILIDAD/G. CICLO VI/Contabilidad por sectores/Actividad 11/"/>
    </mc:Choice>
  </mc:AlternateContent>
  <xr:revisionPtr revIDLastSave="29" documentId="11_071705C2A2B70B61B3B01386ABA686C4DCA11FF8" xr6:coauthVersionLast="47" xr6:coauthVersionMax="47" xr10:uidLastSave="{69140153-2F85-479E-BA14-1A06AB7F3DAC}"/>
  <bookViews>
    <workbookView xWindow="-98" yWindow="-98" windowWidth="22695" windowHeight="14595" tabRatio="500" xr2:uid="{00000000-000D-0000-FFFF-FFFF00000000}"/>
  </bookViews>
  <sheets>
    <sheet name="ACTIVIDAD 11" sheetId="1" r:id="rId1"/>
  </sheets>
  <definedNames>
    <definedName name="_xlnm.Print_Area" localSheetId="0">'ACTIVIDAD 11'!$A$1:$H$83</definedName>
  </definedName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58" i="1" l="1"/>
  <c r="D59" i="1" s="1"/>
  <c r="D57" i="1"/>
  <c r="D56" i="1"/>
  <c r="D41" i="1"/>
  <c r="D33" i="1"/>
  <c r="D32" i="1"/>
  <c r="D67" i="1"/>
  <c r="D52" i="1"/>
  <c r="D40" i="1"/>
  <c r="D21" i="1"/>
  <c r="D20" i="1"/>
  <c r="D11" i="1"/>
  <c r="D73" i="1" l="1"/>
  <c r="D68" i="1"/>
  <c r="D42" i="1"/>
  <c r="D34" i="1"/>
  <c r="D22" i="1"/>
  <c r="D24" i="1" s="1"/>
  <c r="D13" i="1"/>
  <c r="D12" i="1"/>
  <c r="D69" i="1" l="1"/>
</calcChain>
</file>

<file path=xl/sharedStrings.xml><?xml version="1.0" encoding="utf-8"?>
<sst xmlns="http://schemas.openxmlformats.org/spreadsheetml/2006/main" count="73" uniqueCount="64">
  <si>
    <t>ACTIVIDAD APLICATIVA N° 11</t>
  </si>
  <si>
    <t>Contabilidad de Sectores Económicos  |  Régimen Tributario del Sector Agrario – Ley N° 32434 (vigente 2026–2035)</t>
  </si>
  <si>
    <t>PARÁMETRO</t>
  </si>
  <si>
    <t>UIT 2026</t>
  </si>
  <si>
    <t>D.S. N° 301-2025-EF</t>
  </si>
  <si>
    <t>EJERCICIO 1 – Pequeño productor agrario (inafectación)</t>
  </si>
  <si>
    <t>Carlos Flores Vélez, pequeño productor de uva en Ica, inscrito en el Padrón de Productores Agrarios (PPA), asociado a la Cooperativa Agraria 'Señor de Los Milagros'. Vende su cosecha 2026 a la cooperativa por S/ 150,000.</t>
  </si>
  <si>
    <t>DESARROLLO</t>
  </si>
  <si>
    <t>Ingresos netos del ejercicio 2026</t>
  </si>
  <si>
    <t>Límite de inafectación: 30 UIT</t>
  </si>
  <si>
    <t>¿Ingresos &lt; 30 UIT?</t>
  </si>
  <si>
    <t>Impuesto a la Renta a pagar</t>
  </si>
  <si>
    <t>Conclusión: Los ingresos (S/ 150,000) son menores a 30 UIT (S/ 165,000), por lo que se encuentra INAFECTO del Impuesto a la Renta. IR = S/ 0,00. Base: Ley N° 32434, pequeños productores con ingresos menores a 30 UIT.</t>
  </si>
  <si>
    <t>EJERCICIO 2 – Pequeño productor agrario (ingresos &gt; 30 UIT y ≤ 150 UIT)</t>
  </si>
  <si>
    <t>Juan Pastor Castro, pequeño productor de espárrago en Huarmey, inscrito en el PPA, asociado a una Asociación Civil sin fines de lucro. Vende su cosecha 2026 a la asociación por S/ 285,000.</t>
  </si>
  <si>
    <t>Tramo inafecto: 30 UIT</t>
  </si>
  <si>
    <t>Límite superior: 150 UIT</t>
  </si>
  <si>
    <t>Base afecta (exceso sobre 30 UIT)</t>
  </si>
  <si>
    <t>Tasa aplicable</t>
  </si>
  <si>
    <t>Conclusión: Los ingresos (S/ 285,000) están entre 30 UIT (S/ 165,000) y 150 UIT (S/ 825,000); se aplica la tasa de 1.5% sobre el exceso de 30 UIT. Exceso = S/ 120,000 → IR = S/ 1,800,00. Base: Ley N° 32434, tasa preferencial 1.5%.</t>
  </si>
  <si>
    <t>EJERCICIO 3 – Determinación de la actividad principal (regla del 20%)</t>
  </si>
  <si>
    <t>Agrícola Campo Verde S.A.C. (cultivo de cítricos en Chao, Virú, La Libertad). Se evalúa si los ingresos de actividades distintas (alquiler de terrenos) superan el 20% del total, para definir si accede a la Ley N° 32434.</t>
  </si>
  <si>
    <t>CASO A</t>
  </si>
  <si>
    <t>Ingresos por actividad agraria (cítricos)</t>
  </si>
  <si>
    <t>Ingresos por actividad distinta (alquiler)</t>
  </si>
  <si>
    <t>Total de ingresos netos</t>
  </si>
  <si>
    <t>% de ingresos de actividad distinta</t>
  </si>
  <si>
    <t>¿Supera el 20%?</t>
  </si>
  <si>
    <t>Conclusión: El alquiler representa 11.52% del total (menor al 20%): la actividad agraria SÍ es la principal, por lo que Campo Verde S.A.C. SÍ accede a los beneficios de la Ley N° 32434.</t>
  </si>
  <si>
    <t>CASO B</t>
  </si>
  <si>
    <t>Conclusión: El alquiler representa 26.39% del total (mayor al 20%): la actividad agraria NO es la principal, por lo que Campo Verde S.A.C. NO accede a los beneficios de la Ley N° 32434. Base: art. 4.4 Ley N° 32434; art. 5.1 Reglamento.</t>
  </si>
  <si>
    <t>EJERCICIO 4 – Deducción de gastos con boletas/tickets del NRUS</t>
  </si>
  <si>
    <t>Agrícola El Sauco E.I.R.L. (cultivo de paltas). Se determina cuánto de los gastos sustentados con boletas y tickets de contribuyentes del Nuevo RUS es deducible para el Impuesto a la Renta 2026.</t>
  </si>
  <si>
    <t>Comprobantes con derecho a costo/gasto (Registro de Compras)</t>
  </si>
  <si>
    <t>Compras realizadas con facturas</t>
  </si>
  <si>
    <t>Recibos de servicio público de agua</t>
  </si>
  <si>
    <t>Recibos de servicio público de electricidad</t>
  </si>
  <si>
    <t>Recibos por servicio telefónico</t>
  </si>
  <si>
    <t>Total registrado en el Registro de Compras</t>
  </si>
  <si>
    <t>Determinación del gasto deducible</t>
  </si>
  <si>
    <t>Gastos con boletas/tickets NRUS (sin derecho a crédito)</t>
  </si>
  <si>
    <t>Límite 1: 10% del total del Registro de Compras</t>
  </si>
  <si>
    <t>Límite 2: tope de 200 UIT</t>
  </si>
  <si>
    <t>Gasto deducible aceptado (el menor)</t>
  </si>
  <si>
    <t>Gasto reparable (no deducible)</t>
  </si>
  <si>
    <t>Conclusión: El gasto con boletas/tickets (S/ 1,105,000) supera el tope de 200 UIT (S/ 1,100,000), que es el límite menor frente al 10% del registro (S/ 1,139,420). Deducible: S/ 1,100,000; reparable: S/ 5,000. Base: Ley N° 32434, deducción NRUS con límite del 10% y tope de 200 UIT.</t>
  </si>
  <si>
    <t>EJERCICIO 5 – Deducción adicional por compras a pequeños productores</t>
  </si>
  <si>
    <t>Agroexportadora Nuevo Perú S.A.C. compra en enero 2026 paltas a pequeños productores inscritos en el PPA. Se calcula la deducción adicional del 25% sobre el valor de los productos (beneficio 2026–2035).</t>
  </si>
  <si>
    <t>Cantidad adquirida (kilos)</t>
  </si>
  <si>
    <t>Precio unitario por kilo</t>
  </si>
  <si>
    <t>Valor de compra (sin IGV)</t>
  </si>
  <si>
    <t>IGV 18%</t>
  </si>
  <si>
    <t>Total de la compra (con IGV)</t>
  </si>
  <si>
    <t>Deducción adicional para la renta neta</t>
  </si>
  <si>
    <t>Tasa de deducción adicional (2026–2035)</t>
  </si>
  <si>
    <t>Deducción adicional sobre el valor de compra</t>
  </si>
  <si>
    <t>Conclusión: La deducción adicional asciende a 25% × S/ 190,000 = S/ 47,500 a la renta neta del ejercicio. Está sujeta al límite del 10% de los comprobantes con derecho a costo/gasto del ejercicio (dato general no provisto en el caso). Base: Ley N° 32434, deducción por compras a pequeños productores 2026–2035.</t>
  </si>
  <si>
    <t>Fundamento normativo (Ley N° 32434 – material del curso)</t>
  </si>
  <si>
    <t>Pequeños productores: ingresos menores a 30 UIT → inafectos del IR; de 30 a 150 UIT → 1.5% sobre el exceso de 30 UIT.</t>
  </si>
  <si>
    <t>Empresas agrarias (PJ o PN con negocio mayor a 150 UIT): tasa del IR 15% (2026–2035); pagos a cuenta 0.8%.</t>
  </si>
  <si>
    <t>Actividad principal: los ingresos de actividades distintas no deben superar el 20% del total (art. 4.4 Ley; art. 5.1 Rgto.).</t>
  </si>
  <si>
    <t>Deducción NRUS (boletas/tickets): límite del 10% de comprobantes con derecho a costo/gasto y tope de 200 UIT.</t>
  </si>
  <si>
    <t>Deducción adicional por compras a pequeños productores: 25% del valor (2026–2035), límite del 10% de comprobantes.</t>
  </si>
  <si>
    <t>UIT 2026 = S/ 5,500 (D.S. N° 301-2025-EF). 30 UIT = 165,000 · 150 UIT = 825,000 · 200 UIT = 1,100,000.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</si>
</sst>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&quot;S/&quot;* #,##0.00_-;&quot;-S/&quot;* #,##0.00_-;_-&quot;S/&quot;* \-??_-;_-@_-"/>
  </numFmts>
  <fonts count="12">
    <font>
      <sz val="11"/>
      <color theme="1"/>
      <name val="Calibri"/>
      <family val="2"/>
      <charset val="1"/>
    </font>
    <font>
      <b/>
      <sz val="13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b/>
      <sz val="11"/>
      <color rgb="FF0000FF"/>
      <name val="Arial"/>
      <family val="2"/>
    </font>
    <font>
      <b/>
      <sz val="9"/>
      <name val="Arial"/>
      <family val="2"/>
    </font>
    <font>
      <b/>
      <sz val="12"/>
      <color rgb="FFC00000"/>
      <name val="Arial"/>
      <family val="2"/>
    </font>
    <font>
      <sz val="9"/>
      <name val="Arial"/>
      <family val="2"/>
    </font>
    <font>
      <b/>
      <sz val="10"/>
      <name val="Arial"/>
      <family val="2"/>
    </font>
    <font>
      <b/>
      <sz val="11"/>
      <color rgb="FFC00000"/>
      <name val="Arial"/>
      <family val="2"/>
    </font>
    <font>
      <sz val="9"/>
      <color rgb="FF595959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2CC"/>
        <bgColor rgb="FFFCE4E4"/>
      </patternFill>
    </fill>
    <fill>
      <patternFill patternType="solid">
        <fgColor rgb="FFE2EFDA"/>
        <bgColor rgb="FFFFF2CC"/>
      </patternFill>
    </fill>
    <fill>
      <patternFill patternType="solid">
        <fgColor rgb="FFFCE4E4"/>
        <bgColor rgb="FFFFF2C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 applyAlignment="1">
      <alignment horizontal="center" vertical="center"/>
    </xf>
    <xf numFmtId="164" fontId="5" fillId="0" borderId="1" xfId="0" applyNumberFormat="1" applyFont="1" applyBorder="1" applyAlignment="1">
      <alignment horizontal="right" vertical="center"/>
    </xf>
    <xf numFmtId="0" fontId="6" fillId="0" borderId="0" xfId="0" applyFont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164" fontId="3" fillId="2" borderId="1" xfId="0" applyNumberFormat="1" applyFont="1" applyFill="1" applyBorder="1" applyAlignment="1">
      <alignment horizontal="right" vertical="center"/>
    </xf>
    <xf numFmtId="10" fontId="4" fillId="0" borderId="1" xfId="0" applyNumberFormat="1" applyFont="1" applyBorder="1" applyAlignment="1">
      <alignment horizontal="right" vertical="center"/>
    </xf>
    <xf numFmtId="164" fontId="3" fillId="0" borderId="1" xfId="0" applyNumberFormat="1" applyFont="1" applyBorder="1" applyAlignment="1">
      <alignment horizontal="right" vertical="center"/>
    </xf>
    <xf numFmtId="164" fontId="3" fillId="4" borderId="1" xfId="0" applyNumberFormat="1" applyFont="1" applyFill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43" fontId="0" fillId="0" borderId="0" xfId="0" applyNumberFormat="1"/>
    <xf numFmtId="0" fontId="4" fillId="0" borderId="1" xfId="0" applyFont="1" applyBorder="1" applyAlignment="1">
      <alignment horizontal="left" vertical="center"/>
    </xf>
    <xf numFmtId="0" fontId="8" fillId="0" borderId="0" xfId="0" applyFont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/>
    </xf>
    <xf numFmtId="0" fontId="9" fillId="3" borderId="1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/>
    </xf>
    <xf numFmtId="0" fontId="9" fillId="4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left" vertical="center"/>
    </xf>
    <xf numFmtId="0" fontId="9" fillId="2" borderId="1" xfId="0" applyFont="1" applyFill="1" applyBorder="1" applyAlignment="1">
      <alignment horizontal="left" vertical="center" wrapText="1"/>
    </xf>
    <xf numFmtId="0" fontId="2" fillId="0" borderId="0" xfId="0" applyFont="1" applyAlignment="1"/>
    <xf numFmtId="0" fontId="3" fillId="0" borderId="0" xfId="0" applyFont="1" applyAlignment="1"/>
    <xf numFmtId="0" fontId="7" fillId="0" borderId="0" xfId="0" applyFont="1" applyAlignment="1"/>
    <xf numFmtId="0" fontId="10" fillId="0" borderId="0" xfId="0" applyFont="1" applyAlignment="1"/>
    <xf numFmtId="0" fontId="9" fillId="0" borderId="0" xfId="0" applyFont="1" applyAlignment="1"/>
    <xf numFmtId="0" fontId="11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CE4E4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176914</xdr:colOff>
      <xdr:row>27</xdr:row>
      <xdr:rowOff>233641</xdr:rowOff>
    </xdr:from>
    <xdr:to>
      <xdr:col>11</xdr:col>
      <xdr:colOff>500990</xdr:colOff>
      <xdr:row>33</xdr:row>
      <xdr:rowOff>98961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935D26E6-DF8A-1890-2D64-54045762855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b="42872"/>
        <a:stretch>
          <a:fillRect/>
        </a:stretch>
      </xdr:blipFill>
      <xdr:spPr>
        <a:xfrm>
          <a:off x="5533180" y="6072342"/>
          <a:ext cx="6107113" cy="1145629"/>
        </a:xfrm>
        <a:prstGeom prst="rect">
          <a:avLst/>
        </a:prstGeom>
      </xdr:spPr>
    </xdr:pic>
    <xdr:clientData/>
  </xdr:twoCellAnchor>
  <xdr:twoCellAnchor editAs="oneCell">
    <xdr:from>
      <xdr:col>4</xdr:col>
      <xdr:colOff>133618</xdr:colOff>
      <xdr:row>37</xdr:row>
      <xdr:rowOff>37109</xdr:rowOff>
    </xdr:from>
    <xdr:to>
      <xdr:col>11</xdr:col>
      <xdr:colOff>457694</xdr:colOff>
      <xdr:row>41</xdr:row>
      <xdr:rowOff>74221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014E115-1940-A455-B5F4-830ED2763A4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62372"/>
        <a:stretch>
          <a:fillRect/>
        </a:stretch>
      </xdr:blipFill>
      <xdr:spPr>
        <a:xfrm>
          <a:off x="5489884" y="8120990"/>
          <a:ext cx="6107113" cy="754579"/>
        </a:xfrm>
        <a:prstGeom prst="rect">
          <a:avLst/>
        </a:prstGeom>
      </xdr:spPr>
    </xdr:pic>
    <xdr:clientData/>
  </xdr:twoCellAnchor>
  <xdr:twoCellAnchor editAs="oneCell">
    <xdr:from>
      <xdr:col>4</xdr:col>
      <xdr:colOff>93749</xdr:colOff>
      <xdr:row>16</xdr:row>
      <xdr:rowOff>247500</xdr:rowOff>
    </xdr:from>
    <xdr:to>
      <xdr:col>11</xdr:col>
      <xdr:colOff>444</xdr:colOff>
      <xdr:row>23</xdr:row>
      <xdr:rowOff>120367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9427AEB4-DC59-EB9A-D5CD-DCF83E1333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452499" y="3641250"/>
          <a:ext cx="5668495" cy="1335367"/>
        </a:xfrm>
        <a:prstGeom prst="rect">
          <a:avLst/>
        </a:prstGeom>
      </xdr:spPr>
    </xdr:pic>
    <xdr:clientData/>
  </xdr:twoCellAnchor>
  <xdr:twoCellAnchor editAs="oneCell">
    <xdr:from>
      <xdr:col>4</xdr:col>
      <xdr:colOff>113392</xdr:colOff>
      <xdr:row>7</xdr:row>
      <xdr:rowOff>249464</xdr:rowOff>
    </xdr:from>
    <xdr:to>
      <xdr:col>10</xdr:col>
      <xdr:colOff>254977</xdr:colOff>
      <xdr:row>12</xdr:row>
      <xdr:rowOff>93362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817AFB1F-C64D-FCFF-3F8B-4B3DAFBB1E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73095" y="1564821"/>
          <a:ext cx="5312299" cy="947589"/>
        </a:xfrm>
        <a:prstGeom prst="rect">
          <a:avLst/>
        </a:prstGeom>
      </xdr:spPr>
    </xdr:pic>
    <xdr:clientData/>
  </xdr:twoCellAnchor>
  <xdr:twoCellAnchor editAs="oneCell">
    <xdr:from>
      <xdr:col>4</xdr:col>
      <xdr:colOff>108750</xdr:colOff>
      <xdr:row>45</xdr:row>
      <xdr:rowOff>281248</xdr:rowOff>
    </xdr:from>
    <xdr:to>
      <xdr:col>10</xdr:col>
      <xdr:colOff>231182</xdr:colOff>
      <xdr:row>58</xdr:row>
      <xdr:rowOff>82500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BFDE3C9B-85BF-9486-4291-C703FBA866D3}"/>
            </a:ext>
            <a:ext uri="{147F2762-F138-4A5C-976F-8EAC2B608ADB}">
              <a16:predDERef xmlns:a16="http://schemas.microsoft.com/office/drawing/2014/main" pred="{817AFB1F-C64D-FCFF-3F8B-4B3DAFBB1E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109375" y="10082473"/>
          <a:ext cx="4951607" cy="2353952"/>
        </a:xfrm>
        <a:prstGeom prst="rect">
          <a:avLst/>
        </a:prstGeom>
      </xdr:spPr>
    </xdr:pic>
    <xdr:clientData/>
  </xdr:twoCellAnchor>
  <xdr:twoCellAnchor editAs="oneCell">
    <xdr:from>
      <xdr:col>4</xdr:col>
      <xdr:colOff>168672</xdr:colOff>
      <xdr:row>64</xdr:row>
      <xdr:rowOff>39857</xdr:rowOff>
    </xdr:from>
    <xdr:to>
      <xdr:col>11</xdr:col>
      <xdr:colOff>424649</xdr:colOff>
      <xdr:row>69</xdr:row>
      <xdr:rowOff>39688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6049C885-DC0A-70DD-E698-22D42F5333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526485" y="13981509"/>
          <a:ext cx="6039013" cy="90697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H82"/>
  <sheetViews>
    <sheetView showGridLines="0" tabSelected="1" topLeftCell="A35" zoomScale="84" zoomScaleNormal="100" workbookViewId="0">
      <selection activeCell="O52" sqref="N52:O52"/>
    </sheetView>
  </sheetViews>
  <sheetFormatPr defaultColWidth="8.7109375" defaultRowHeight="14.25"/>
  <cols>
    <col min="1" max="1" width="2" customWidth="1"/>
    <col min="2" max="2" width="11" customWidth="1"/>
    <col min="3" max="3" width="42" customWidth="1"/>
    <col min="4" max="4" width="20" customWidth="1"/>
    <col min="5" max="5" width="15" customWidth="1"/>
    <col min="6" max="6" width="14" customWidth="1"/>
    <col min="7" max="8" width="13" customWidth="1"/>
  </cols>
  <sheetData>
    <row r="1" spans="2:8" ht="16.899999999999999">
      <c r="C1" s="1" t="s">
        <v>0</v>
      </c>
    </row>
    <row r="2" spans="2:8">
      <c r="B2" s="19" t="s">
        <v>1</v>
      </c>
      <c r="C2" s="19"/>
      <c r="D2" s="19"/>
      <c r="E2" s="19"/>
      <c r="F2" s="19"/>
      <c r="G2" s="19"/>
      <c r="H2" s="19"/>
    </row>
    <row r="4" spans="2:8">
      <c r="B4" s="20" t="s">
        <v>2</v>
      </c>
      <c r="C4" s="20"/>
      <c r="D4" s="20"/>
      <c r="E4" s="20"/>
      <c r="F4" s="20"/>
      <c r="G4" s="20"/>
      <c r="H4" s="20"/>
    </row>
    <row r="5" spans="2:8">
      <c r="B5" s="11" t="s">
        <v>3</v>
      </c>
      <c r="C5" s="11"/>
      <c r="D5" s="2">
        <v>5500</v>
      </c>
      <c r="E5" s="3" t="s">
        <v>4</v>
      </c>
    </row>
    <row r="7" spans="2:8" ht="15.4">
      <c r="B7" s="21" t="s">
        <v>5</v>
      </c>
      <c r="C7" s="21"/>
      <c r="D7" s="21"/>
      <c r="E7" s="21"/>
      <c r="F7" s="21"/>
      <c r="G7" s="21"/>
      <c r="H7" s="21"/>
    </row>
    <row r="8" spans="2:8" ht="30" customHeight="1">
      <c r="B8" s="12" t="s">
        <v>6</v>
      </c>
      <c r="C8" s="12"/>
      <c r="D8" s="12"/>
      <c r="E8" s="12"/>
      <c r="F8" s="12"/>
      <c r="G8" s="12"/>
      <c r="H8" s="12"/>
    </row>
    <row r="9" spans="2:8">
      <c r="B9" s="20" t="s">
        <v>7</v>
      </c>
      <c r="C9" s="20"/>
      <c r="D9" s="20"/>
      <c r="E9" s="20"/>
      <c r="F9" s="20"/>
      <c r="G9" s="20"/>
      <c r="H9" s="20"/>
    </row>
    <row r="10" spans="2:8">
      <c r="B10" s="11" t="s">
        <v>8</v>
      </c>
      <c r="C10" s="11"/>
      <c r="D10" s="4">
        <v>150000</v>
      </c>
    </row>
    <row r="11" spans="2:8">
      <c r="B11" s="11" t="s">
        <v>9</v>
      </c>
      <c r="C11" s="11"/>
      <c r="D11" s="4">
        <f>30*D5</f>
        <v>165000</v>
      </c>
    </row>
    <row r="12" spans="2:8">
      <c r="B12" s="11" t="s">
        <v>10</v>
      </c>
      <c r="C12" s="11"/>
      <c r="D12" s="4" t="str">
        <f>IF(D10&lt;D11,"SÍ - INAFECTO","NO - AFECTO")</f>
        <v>SÍ - INAFECTO</v>
      </c>
    </row>
    <row r="13" spans="2:8">
      <c r="B13" s="13" t="s">
        <v>11</v>
      </c>
      <c r="C13" s="13"/>
      <c r="D13" s="5">
        <f>IF(D10&lt;D11,0,"-")</f>
        <v>0</v>
      </c>
    </row>
    <row r="14" spans="2:8" ht="33.75" customHeight="1">
      <c r="B14" s="14" t="s">
        <v>12</v>
      </c>
      <c r="C14" s="14"/>
      <c r="D14" s="14"/>
      <c r="E14" s="14"/>
      <c r="F14" s="14"/>
      <c r="G14" s="14"/>
      <c r="H14" s="14"/>
    </row>
    <row r="16" spans="2:8" ht="15.4">
      <c r="B16" s="21" t="s">
        <v>13</v>
      </c>
      <c r="C16" s="21"/>
      <c r="D16" s="21"/>
      <c r="E16" s="21"/>
      <c r="F16" s="21"/>
      <c r="G16" s="21"/>
      <c r="H16" s="21"/>
    </row>
    <row r="17" spans="2:8" ht="30" customHeight="1">
      <c r="B17" s="12" t="s">
        <v>14</v>
      </c>
      <c r="C17" s="12"/>
      <c r="D17" s="12"/>
      <c r="E17" s="12"/>
      <c r="F17" s="12"/>
      <c r="G17" s="12"/>
      <c r="H17" s="12"/>
    </row>
    <row r="18" spans="2:8">
      <c r="B18" s="20" t="s">
        <v>7</v>
      </c>
      <c r="C18" s="20"/>
      <c r="D18" s="20"/>
      <c r="E18" s="20"/>
      <c r="F18" s="20"/>
      <c r="G18" s="20"/>
      <c r="H18" s="20"/>
    </row>
    <row r="19" spans="2:8">
      <c r="B19" s="11" t="s">
        <v>8</v>
      </c>
      <c r="C19" s="11"/>
      <c r="D19" s="4">
        <v>285000</v>
      </c>
    </row>
    <row r="20" spans="2:8">
      <c r="B20" s="11" t="s">
        <v>15</v>
      </c>
      <c r="C20" s="11"/>
      <c r="D20" s="4">
        <f>30*D5</f>
        <v>165000</v>
      </c>
    </row>
    <row r="21" spans="2:8">
      <c r="B21" s="11" t="s">
        <v>16</v>
      </c>
      <c r="C21" s="11"/>
      <c r="D21" s="4">
        <f>150*D5</f>
        <v>825000</v>
      </c>
    </row>
    <row r="22" spans="2:8">
      <c r="B22" s="11" t="s">
        <v>17</v>
      </c>
      <c r="C22" s="11"/>
      <c r="D22" s="4">
        <f>D19-D20</f>
        <v>120000</v>
      </c>
    </row>
    <row r="23" spans="2:8">
      <c r="B23" s="11" t="s">
        <v>18</v>
      </c>
      <c r="C23" s="11"/>
      <c r="D23" s="6">
        <v>1.4999999999999999E-2</v>
      </c>
    </row>
    <row r="24" spans="2:8">
      <c r="B24" s="13" t="s">
        <v>11</v>
      </c>
      <c r="C24" s="13"/>
      <c r="D24" s="5">
        <f>D22*D23</f>
        <v>1800</v>
      </c>
    </row>
    <row r="25" spans="2:8" ht="33.75" customHeight="1">
      <c r="B25" s="14" t="s">
        <v>19</v>
      </c>
      <c r="C25" s="14"/>
      <c r="D25" s="14"/>
      <c r="E25" s="14"/>
      <c r="F25" s="14"/>
      <c r="G25" s="14"/>
      <c r="H25" s="14"/>
    </row>
    <row r="27" spans="2:8" ht="15.4">
      <c r="B27" s="21" t="s">
        <v>20</v>
      </c>
      <c r="C27" s="21"/>
      <c r="D27" s="21"/>
      <c r="E27" s="21"/>
      <c r="F27" s="21"/>
      <c r="G27" s="21"/>
      <c r="H27" s="21"/>
    </row>
    <row r="28" spans="2:8" ht="30" customHeight="1">
      <c r="B28" s="12" t="s">
        <v>21</v>
      </c>
      <c r="C28" s="12"/>
      <c r="D28" s="12"/>
      <c r="E28" s="12"/>
      <c r="F28" s="12"/>
      <c r="G28" s="12"/>
      <c r="H28" s="12"/>
    </row>
    <row r="29" spans="2:8">
      <c r="B29" s="22" t="s">
        <v>22</v>
      </c>
      <c r="C29" s="22"/>
      <c r="D29" s="22"/>
      <c r="E29" s="22"/>
      <c r="F29" s="22"/>
      <c r="G29" s="22"/>
      <c r="H29" s="22"/>
    </row>
    <row r="30" spans="2:8">
      <c r="B30" s="11" t="s">
        <v>23</v>
      </c>
      <c r="C30" s="11"/>
      <c r="D30" s="4">
        <v>2650000</v>
      </c>
    </row>
    <row r="31" spans="2:8">
      <c r="B31" s="11" t="s">
        <v>24</v>
      </c>
      <c r="C31" s="11"/>
      <c r="D31" s="4">
        <v>345000</v>
      </c>
    </row>
    <row r="32" spans="2:8">
      <c r="B32" s="15" t="s">
        <v>25</v>
      </c>
      <c r="C32" s="15"/>
      <c r="D32" s="7">
        <f>D30+D31</f>
        <v>2995000</v>
      </c>
    </row>
    <row r="33" spans="2:8">
      <c r="B33" s="11" t="s">
        <v>26</v>
      </c>
      <c r="C33" s="11"/>
      <c r="D33" s="6">
        <f>D31/D32</f>
        <v>0.11519198664440734</v>
      </c>
    </row>
    <row r="34" spans="2:8">
      <c r="B34" s="13" t="s">
        <v>27</v>
      </c>
      <c r="C34" s="13"/>
      <c r="D34" s="5" t="str">
        <f>IF(D33&gt;0.2,"SÍ","NO")</f>
        <v>NO</v>
      </c>
    </row>
    <row r="35" spans="2:8" ht="33.75" customHeight="1">
      <c r="B35" s="14" t="s">
        <v>28</v>
      </c>
      <c r="C35" s="14"/>
      <c r="D35" s="14"/>
      <c r="E35" s="14"/>
      <c r="F35" s="14"/>
      <c r="G35" s="14"/>
      <c r="H35" s="14"/>
    </row>
    <row r="36" spans="2:8">
      <c r="D36" s="10"/>
    </row>
    <row r="37" spans="2:8">
      <c r="B37" s="22" t="s">
        <v>29</v>
      </c>
      <c r="C37" s="22"/>
      <c r="D37" s="22"/>
      <c r="E37" s="22"/>
      <c r="F37" s="22"/>
      <c r="G37" s="22"/>
      <c r="H37" s="22"/>
    </row>
    <row r="38" spans="2:8">
      <c r="B38" s="11" t="s">
        <v>23</v>
      </c>
      <c r="C38" s="11"/>
      <c r="D38" s="4">
        <v>2650000</v>
      </c>
    </row>
    <row r="39" spans="2:8">
      <c r="B39" s="11" t="s">
        <v>24</v>
      </c>
      <c r="C39" s="11"/>
      <c r="D39" s="4">
        <v>950000</v>
      </c>
    </row>
    <row r="40" spans="2:8">
      <c r="B40" s="15" t="s">
        <v>25</v>
      </c>
      <c r="C40" s="15"/>
      <c r="D40" s="7">
        <f>D38+D39</f>
        <v>3600000</v>
      </c>
    </row>
    <row r="41" spans="2:8">
      <c r="B41" s="11" t="s">
        <v>26</v>
      </c>
      <c r="C41" s="11"/>
      <c r="D41" s="6">
        <f>D39/D40</f>
        <v>0.2638888888888889</v>
      </c>
    </row>
    <row r="42" spans="2:8">
      <c r="B42" s="13" t="s">
        <v>27</v>
      </c>
      <c r="C42" s="13"/>
      <c r="D42" s="5" t="str">
        <f>IF(D41&gt;0.2,"SÍ","NO")</f>
        <v>SÍ</v>
      </c>
    </row>
    <row r="43" spans="2:8" ht="33.75" customHeight="1">
      <c r="B43" s="16" t="s">
        <v>30</v>
      </c>
      <c r="C43" s="16"/>
      <c r="D43" s="16"/>
      <c r="E43" s="16"/>
      <c r="F43" s="16"/>
      <c r="G43" s="16"/>
      <c r="H43" s="16"/>
    </row>
    <row r="45" spans="2:8" ht="15.4">
      <c r="B45" s="21" t="s">
        <v>31</v>
      </c>
      <c r="C45" s="21"/>
      <c r="D45" s="21"/>
      <c r="E45" s="21"/>
      <c r="F45" s="21"/>
      <c r="G45" s="21"/>
      <c r="H45" s="21"/>
    </row>
    <row r="46" spans="2:8" ht="30" customHeight="1">
      <c r="B46" s="12" t="s">
        <v>32</v>
      </c>
      <c r="C46" s="12"/>
      <c r="D46" s="12"/>
      <c r="E46" s="12"/>
      <c r="F46" s="12"/>
      <c r="G46" s="12"/>
      <c r="H46" s="12"/>
    </row>
    <row r="47" spans="2:8">
      <c r="B47" s="20" t="s">
        <v>33</v>
      </c>
      <c r="C47" s="20"/>
      <c r="D47" s="20"/>
      <c r="E47" s="20"/>
      <c r="F47" s="20"/>
      <c r="G47" s="20"/>
      <c r="H47" s="20"/>
    </row>
    <row r="48" spans="2:8">
      <c r="B48" s="11" t="s">
        <v>34</v>
      </c>
      <c r="C48" s="11"/>
      <c r="D48" s="4">
        <v>10967500</v>
      </c>
    </row>
    <row r="49" spans="2:8">
      <c r="B49" s="11" t="s">
        <v>35</v>
      </c>
      <c r="C49" s="11"/>
      <c r="D49" s="4">
        <v>152700</v>
      </c>
    </row>
    <row r="50" spans="2:8">
      <c r="B50" s="11" t="s">
        <v>36</v>
      </c>
      <c r="C50" s="11"/>
      <c r="D50" s="4">
        <v>148450</v>
      </c>
    </row>
    <row r="51" spans="2:8">
      <c r="B51" s="11" t="s">
        <v>37</v>
      </c>
      <c r="C51" s="11"/>
      <c r="D51" s="4">
        <v>125550</v>
      </c>
    </row>
    <row r="52" spans="2:8">
      <c r="B52" s="15" t="s">
        <v>38</v>
      </c>
      <c r="C52" s="15"/>
      <c r="D52" s="7">
        <f>D48+D49+D50+D51</f>
        <v>11394200</v>
      </c>
    </row>
    <row r="54" spans="2:8">
      <c r="B54" s="20" t="s">
        <v>39</v>
      </c>
      <c r="C54" s="20"/>
      <c r="D54" s="20"/>
      <c r="E54" s="20"/>
      <c r="F54" s="20"/>
      <c r="G54" s="20"/>
      <c r="H54" s="20"/>
    </row>
    <row r="55" spans="2:8">
      <c r="B55" s="11" t="s">
        <v>40</v>
      </c>
      <c r="C55" s="11"/>
      <c r="D55" s="4">
        <v>1105000</v>
      </c>
    </row>
    <row r="56" spans="2:8">
      <c r="B56" s="11" t="s">
        <v>41</v>
      </c>
      <c r="C56" s="11"/>
      <c r="D56" s="4">
        <f>D52*0.1</f>
        <v>1139420</v>
      </c>
    </row>
    <row r="57" spans="2:8">
      <c r="B57" s="11" t="s">
        <v>42</v>
      </c>
      <c r="C57" s="11"/>
      <c r="D57" s="4">
        <f>200*D5</f>
        <v>1100000</v>
      </c>
    </row>
    <row r="58" spans="2:8">
      <c r="B58" s="13" t="s">
        <v>43</v>
      </c>
      <c r="C58" s="13"/>
      <c r="D58" s="5">
        <f>MIN(D55,D56,D57)</f>
        <v>1100000</v>
      </c>
    </row>
    <row r="59" spans="2:8">
      <c r="B59" s="17" t="s">
        <v>44</v>
      </c>
      <c r="C59" s="17"/>
      <c r="D59" s="8">
        <f>D55-D58</f>
        <v>5000</v>
      </c>
    </row>
    <row r="60" spans="2:8" ht="33.75" customHeight="1">
      <c r="B60" s="18" t="s">
        <v>45</v>
      </c>
      <c r="C60" s="18"/>
      <c r="D60" s="18"/>
      <c r="E60" s="18"/>
      <c r="F60" s="18"/>
      <c r="G60" s="18"/>
      <c r="H60" s="18"/>
    </row>
    <row r="62" spans="2:8" ht="15.4">
      <c r="B62" s="21" t="s">
        <v>46</v>
      </c>
      <c r="C62" s="21"/>
      <c r="D62" s="21"/>
      <c r="E62" s="21"/>
      <c r="F62" s="21"/>
      <c r="G62" s="21"/>
      <c r="H62" s="21"/>
    </row>
    <row r="63" spans="2:8" ht="30" customHeight="1">
      <c r="B63" s="12" t="s">
        <v>47</v>
      </c>
      <c r="C63" s="12"/>
      <c r="D63" s="12"/>
      <c r="E63" s="12"/>
      <c r="F63" s="12"/>
      <c r="G63" s="12"/>
      <c r="H63" s="12"/>
    </row>
    <row r="64" spans="2:8">
      <c r="B64" s="20" t="s">
        <v>7</v>
      </c>
      <c r="C64" s="20"/>
      <c r="D64" s="20"/>
      <c r="E64" s="20"/>
      <c r="F64" s="20"/>
      <c r="G64" s="20"/>
      <c r="H64" s="20"/>
    </row>
    <row r="65" spans="2:8">
      <c r="B65" s="11" t="s">
        <v>48</v>
      </c>
      <c r="C65" s="11"/>
      <c r="D65" s="9">
        <v>38000</v>
      </c>
    </row>
    <row r="66" spans="2:8">
      <c r="B66" s="11" t="s">
        <v>49</v>
      </c>
      <c r="C66" s="11"/>
      <c r="D66" s="4">
        <v>5</v>
      </c>
    </row>
    <row r="67" spans="2:8">
      <c r="B67" s="15" t="s">
        <v>50</v>
      </c>
      <c r="C67" s="15"/>
      <c r="D67" s="7">
        <f>D65*D66</f>
        <v>190000</v>
      </c>
    </row>
    <row r="68" spans="2:8">
      <c r="B68" s="11" t="s">
        <v>51</v>
      </c>
      <c r="C68" s="11"/>
      <c r="D68" s="4">
        <f>D67*0.18</f>
        <v>34200</v>
      </c>
    </row>
    <row r="69" spans="2:8">
      <c r="B69" s="15" t="s">
        <v>52</v>
      </c>
      <c r="C69" s="15"/>
      <c r="D69" s="7">
        <f>D67+D68</f>
        <v>224200</v>
      </c>
    </row>
    <row r="71" spans="2:8">
      <c r="B71" s="20" t="s">
        <v>53</v>
      </c>
      <c r="C71" s="20"/>
      <c r="D71" s="20"/>
      <c r="E71" s="20"/>
      <c r="F71" s="20"/>
      <c r="G71" s="20"/>
      <c r="H71" s="20"/>
    </row>
    <row r="72" spans="2:8">
      <c r="B72" s="11" t="s">
        <v>54</v>
      </c>
      <c r="C72" s="11"/>
      <c r="D72" s="6">
        <v>0.25</v>
      </c>
    </row>
    <row r="73" spans="2:8">
      <c r="B73" s="13" t="s">
        <v>55</v>
      </c>
      <c r="C73" s="13"/>
      <c r="D73" s="5">
        <f>D67*D72</f>
        <v>47500</v>
      </c>
    </row>
    <row r="74" spans="2:8" ht="33.75" customHeight="1">
      <c r="B74" s="14" t="s">
        <v>56</v>
      </c>
      <c r="C74" s="14"/>
      <c r="D74" s="14"/>
      <c r="E74" s="14"/>
      <c r="F74" s="14"/>
      <c r="G74" s="14"/>
      <c r="H74" s="14"/>
    </row>
    <row r="76" spans="2:8">
      <c r="B76" s="23" t="s">
        <v>57</v>
      </c>
      <c r="C76" s="23"/>
      <c r="D76" s="23"/>
      <c r="E76" s="23"/>
      <c r="F76" s="23"/>
      <c r="G76" s="23"/>
      <c r="H76" s="23"/>
    </row>
    <row r="77" spans="2:8">
      <c r="B77" s="24" t="s">
        <v>58</v>
      </c>
      <c r="C77" s="24"/>
      <c r="D77" s="24"/>
      <c r="E77" s="24"/>
      <c r="F77" s="24"/>
      <c r="G77" s="24"/>
      <c r="H77" s="24"/>
    </row>
    <row r="78" spans="2:8">
      <c r="B78" s="24" t="s">
        <v>59</v>
      </c>
      <c r="C78" s="24"/>
      <c r="D78" s="24"/>
      <c r="E78" s="24"/>
      <c r="F78" s="24"/>
      <c r="G78" s="24"/>
      <c r="H78" s="24"/>
    </row>
    <row r="79" spans="2:8">
      <c r="B79" s="24" t="s">
        <v>60</v>
      </c>
      <c r="C79" s="24"/>
      <c r="D79" s="24"/>
      <c r="E79" s="24"/>
      <c r="F79" s="24"/>
      <c r="G79" s="24"/>
      <c r="H79" s="24"/>
    </row>
    <row r="80" spans="2:8">
      <c r="B80" s="24" t="s">
        <v>61</v>
      </c>
      <c r="C80" s="24"/>
      <c r="D80" s="24"/>
      <c r="E80" s="24"/>
      <c r="F80" s="24"/>
      <c r="G80" s="24"/>
      <c r="H80" s="24"/>
    </row>
    <row r="81" spans="2:8">
      <c r="B81" s="24" t="s">
        <v>62</v>
      </c>
      <c r="C81" s="24"/>
      <c r="D81" s="24"/>
      <c r="E81" s="24"/>
      <c r="F81" s="24"/>
      <c r="G81" s="24"/>
      <c r="H81" s="24"/>
    </row>
    <row r="82" spans="2:8">
      <c r="B82" s="24" t="s">
        <v>63</v>
      </c>
      <c r="C82" s="24"/>
      <c r="D82" s="24"/>
      <c r="E82" s="24"/>
      <c r="F82" s="24"/>
      <c r="G82" s="24"/>
      <c r="H82" s="24"/>
    </row>
  </sheetData>
  <mergeCells count="71">
    <mergeCell ref="B82:H82"/>
    <mergeCell ref="B77:H77"/>
    <mergeCell ref="B78:H78"/>
    <mergeCell ref="B79:H79"/>
    <mergeCell ref="B80:H80"/>
    <mergeCell ref="B81:H81"/>
    <mergeCell ref="B71:H71"/>
    <mergeCell ref="B72:C72"/>
    <mergeCell ref="B73:C73"/>
    <mergeCell ref="B74:H74"/>
    <mergeCell ref="B76:H76"/>
    <mergeCell ref="B65:C65"/>
    <mergeCell ref="B66:C66"/>
    <mergeCell ref="B67:C67"/>
    <mergeCell ref="B68:C68"/>
    <mergeCell ref="B69:C69"/>
    <mergeCell ref="B59:C59"/>
    <mergeCell ref="B60:H60"/>
    <mergeCell ref="B62:H62"/>
    <mergeCell ref="B63:H63"/>
    <mergeCell ref="B64:H64"/>
    <mergeCell ref="B54:H54"/>
    <mergeCell ref="B55:C55"/>
    <mergeCell ref="B56:C56"/>
    <mergeCell ref="B57:C57"/>
    <mergeCell ref="B58:C58"/>
    <mergeCell ref="B48:C48"/>
    <mergeCell ref="B49:C49"/>
    <mergeCell ref="B50:C50"/>
    <mergeCell ref="B51:C51"/>
    <mergeCell ref="B52:C52"/>
    <mergeCell ref="B42:C42"/>
    <mergeCell ref="B43:H43"/>
    <mergeCell ref="B45:H45"/>
    <mergeCell ref="B46:H46"/>
    <mergeCell ref="B47:H47"/>
    <mergeCell ref="B37:H37"/>
    <mergeCell ref="B38:C38"/>
    <mergeCell ref="B39:C39"/>
    <mergeCell ref="B40:C40"/>
    <mergeCell ref="B41:C41"/>
    <mergeCell ref="B31:C31"/>
    <mergeCell ref="B32:C32"/>
    <mergeCell ref="B33:C33"/>
    <mergeCell ref="B34:C34"/>
    <mergeCell ref="B35:H35"/>
    <mergeCell ref="B25:H25"/>
    <mergeCell ref="B27:H27"/>
    <mergeCell ref="B28:H28"/>
    <mergeCell ref="B29:H29"/>
    <mergeCell ref="B30:C30"/>
    <mergeCell ref="B20:C20"/>
    <mergeCell ref="B21:C21"/>
    <mergeCell ref="B22:C22"/>
    <mergeCell ref="B23:C23"/>
    <mergeCell ref="B24:C24"/>
    <mergeCell ref="B14:H14"/>
    <mergeCell ref="B16:H16"/>
    <mergeCell ref="B17:H17"/>
    <mergeCell ref="B18:H18"/>
    <mergeCell ref="B19:C19"/>
    <mergeCell ref="B9:H9"/>
    <mergeCell ref="B10:C10"/>
    <mergeCell ref="B11:C11"/>
    <mergeCell ref="B12:C12"/>
    <mergeCell ref="B13:C13"/>
    <mergeCell ref="B2:H2"/>
    <mergeCell ref="B4:H4"/>
    <mergeCell ref="B5:C5"/>
    <mergeCell ref="B7:H7"/>
    <mergeCell ref="B8:H8"/>
  </mergeCells>
  <pageMargins left="0.4" right="0.4" top="1" bottom="1" header="0.511811023622047" footer="0.511811023622047"/>
  <pageSetup fitToHeight="0" orientation="landscape" horizontalDpi="300" verticalDpi="300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694CF182EF98F4DA64F228B35CA215D" ma:contentTypeVersion="3" ma:contentTypeDescription="Crear nuevo documento." ma:contentTypeScope="" ma:versionID="20b8c8e210d09dea26e2f31ea3f241f0">
  <xsd:schema xmlns:xsd="http://www.w3.org/2001/XMLSchema" xmlns:xs="http://www.w3.org/2001/XMLSchema" xmlns:p="http://schemas.microsoft.com/office/2006/metadata/properties" xmlns:ns2="04c503a6-e7e8-4c2c-8c37-8c7c54fe6ebb" targetNamespace="http://schemas.microsoft.com/office/2006/metadata/properties" ma:root="true" ma:fieldsID="353321d12ad70034b9bceda12b0ba336" ns2:_="">
    <xsd:import namespace="04c503a6-e7e8-4c2c-8c37-8c7c54fe6eb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4c503a6-e7e8-4c2c-8c37-8c7c54fe6eb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11F6900-6B07-415A-8A3E-7DB26EC07C49}"/>
</file>

<file path=customXml/itemProps2.xml><?xml version="1.0" encoding="utf-8"?>
<ds:datastoreItem xmlns:ds="http://schemas.openxmlformats.org/officeDocument/2006/customXml" ds:itemID="{A987367C-ABC1-4BE2-BC52-39F75323B0B5}"/>
</file>

<file path=customXml/itemProps3.xml><?xml version="1.0" encoding="utf-8"?>
<ds:datastoreItem xmlns:ds="http://schemas.openxmlformats.org/officeDocument/2006/customXml" ds:itemID="{3565FAB9-60F0-45EC-AA1E-CF1D0A3A072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DAVID DANIEL ARAMBURU CONDORI</cp:lastModifiedBy>
  <cp:revision>0</cp:revision>
  <dcterms:created xsi:type="dcterms:W3CDTF">2026-06-01T23:48:30Z</dcterms:created>
  <dcterms:modified xsi:type="dcterms:W3CDTF">2026-06-14T01:52:31Z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0x0101004694CF182EF98F4DA64F228B35CA215D</vt:lpwstr>
  </property>
</Properties>
</file>