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nick.carrion\Downloads\"/>
    </mc:Choice>
  </mc:AlternateContent>
  <xr:revisionPtr revIDLastSave="0" documentId="13_ncr:1_{88DA5C55-4E8C-4141-924F-30FD5382227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CTIVIDAD 12" sheetId="1" r:id="rId1"/>
  </sheets>
  <definedNames>
    <definedName name="_xlnm.Print_Area" localSheetId="0">'ACTIVIDAD 12'!$A$1:$I$73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8" i="1" l="1"/>
  <c r="I47" i="1"/>
  <c r="H46" i="1"/>
  <c r="H48" i="1" s="1"/>
  <c r="I49" i="1" s="1"/>
  <c r="I41" i="1"/>
  <c r="H40" i="1"/>
  <c r="H42" i="1" s="1"/>
  <c r="I43" i="1" s="1"/>
  <c r="H36" i="1"/>
  <c r="E64" i="1" s="1"/>
  <c r="G34" i="1"/>
  <c r="F34" i="1"/>
  <c r="E34" i="1"/>
  <c r="G33" i="1"/>
  <c r="F33" i="1"/>
  <c r="H33" i="1" s="1"/>
  <c r="E33" i="1"/>
  <c r="G32" i="1"/>
  <c r="F32" i="1"/>
  <c r="E32" i="1"/>
  <c r="E28" i="1"/>
  <c r="F27" i="1"/>
  <c r="G27" i="1" s="1"/>
  <c r="F26" i="1"/>
  <c r="G26" i="1" s="1"/>
  <c r="H53" i="1" s="1"/>
  <c r="F25" i="1"/>
  <c r="G25" i="1" s="1"/>
  <c r="H50" i="1" l="1"/>
  <c r="G35" i="1"/>
  <c r="H34" i="1"/>
  <c r="F35" i="1"/>
  <c r="G28" i="1"/>
  <c r="E66" i="1" s="1"/>
  <c r="H44" i="1"/>
  <c r="H32" i="1"/>
  <c r="I45" i="1"/>
  <c r="E63" i="1"/>
  <c r="H35" i="1" l="1"/>
  <c r="E65" i="1" s="1"/>
  <c r="I54" i="1" l="1"/>
</calcChain>
</file>

<file path=xl/sharedStrings.xml><?xml version="1.0" encoding="utf-8"?>
<sst xmlns="http://schemas.openxmlformats.org/spreadsheetml/2006/main" count="80" uniqueCount="71">
  <si>
    <t>ACTIVIDAD APLICATIVA N° 12</t>
  </si>
  <si>
    <t>Contabilidad de Sectores Económicos  |  NIC 41 Agricultura – Activos biológicos a valor razonable menos costos de venta</t>
  </si>
  <si>
    <t>La Ganadera del Sur S.A. (RUC 20014523698) – producción de leche. Medición al cierre del ejercicio 2025.</t>
  </si>
  <si>
    <t>1. HECHOS DEL EJERCICIO</t>
  </si>
  <si>
    <t>02.01.25 – Adquisición de 5 vacas lecheras Holstein de 3 años a S/ 18,000 c/u (en producción).</t>
  </si>
  <si>
    <t>01.07.25 – Nacimiento de 3 becerros; valor razonable al nacer S/ 6,000 c/u (en desarrollo).</t>
  </si>
  <si>
    <t>01.07.25 – Adquisición de 1 vaca lechera de 2.5 años a S/ 14,000 (en producción).</t>
  </si>
  <si>
    <t>31.12.25 – Medición de todos los activos biológicos a su valor razonable menos costos de venta.</t>
  </si>
  <si>
    <t>2. VALORES RAZONABLES UNITARIOS (menos costos de venta)</t>
  </si>
  <si>
    <t>Detalle</t>
  </si>
  <si>
    <t>VR unitario</t>
  </si>
  <si>
    <t>Vaca lechera de 3 años al 02.01.25 (costo)</t>
  </si>
  <si>
    <t>Becerro recién nacido al 01.07.25</t>
  </si>
  <si>
    <t>Vaca lechera de 2.5 años al 01.07.25 (costo)</t>
  </si>
  <si>
    <t>Vaca lechera de 3 años al 31.12.25</t>
  </si>
  <si>
    <t>Becerro recién nacido al 31.12.25</t>
  </si>
  <si>
    <t>Vaca lechera de 2.5 años al 31.12.25</t>
  </si>
  <si>
    <t>Vaca lechera de 4 años al 31.12.25</t>
  </si>
  <si>
    <t>Becerro de 0.5 años al 31.12.25</t>
  </si>
  <si>
    <t>3. VALOR RAZONABLE DE LOS ACTIVOS BIOLÓGICOS AL 31.12.25</t>
  </si>
  <si>
    <t>Grupo / activo biológico</t>
  </si>
  <si>
    <t>Cantidad</t>
  </si>
  <si>
    <t>VR total</t>
  </si>
  <si>
    <t>Vacas lecheras (3→4 años) – en producción</t>
  </si>
  <si>
    <t>Becerros (0.5 años) – en desarrollo</t>
  </si>
  <si>
    <t>Vaca lechera (2.5→3 años) – en producción</t>
  </si>
  <si>
    <t>Total activos biológicos al 31.12.25</t>
  </si>
  <si>
    <t>4. DESGLOSE DE LA GANANCIA POR MEDICIÓN A VALOR RAZONABLE (NIC 41)</t>
  </si>
  <si>
    <t>Grupo</t>
  </si>
  <si>
    <t>Cant.</t>
  </si>
  <si>
    <t>Por precio</t>
  </si>
  <si>
    <t>Por transf. física</t>
  </si>
  <si>
    <t>Cambio total</t>
  </si>
  <si>
    <t>Vacas 3→4 años</t>
  </si>
  <si>
    <t>Becerros 0→0.5 años</t>
  </si>
  <si>
    <t>Vaca 2.5→3 años</t>
  </si>
  <si>
    <t>Total cambio de valor razonable</t>
  </si>
  <si>
    <t>Ganancia por nacimiento de 3 becerros (reconocimiento inicial 3 × S/ 6,000):</t>
  </si>
  <si>
    <t>5. DESARROLLO – LIBRO DIARIO</t>
  </si>
  <si>
    <t>Asiento</t>
  </si>
  <si>
    <t>Fecha</t>
  </si>
  <si>
    <t>Glosa / Descripción</t>
  </si>
  <si>
    <t>Cuenta</t>
  </si>
  <si>
    <t>Debe</t>
  </si>
  <si>
    <t>Haber</t>
  </si>
  <si>
    <t>Adquisición de 5 vacas lecheras de 3 años raza holstein</t>
  </si>
  <si>
    <t>vacas</t>
  </si>
  <si>
    <t>x) 5 × S/ 18,000 – activos biológicos en producción</t>
  </si>
  <si>
    <t>Cancelación compra de vacas</t>
  </si>
  <si>
    <t>Nacimiento de 3 becerros (reconocimiento a VR)</t>
  </si>
  <si>
    <t>becerros</t>
  </si>
  <si>
    <t>x) 3 × S/ 6,000 – activos biológicos en desarrollo</t>
  </si>
  <si>
    <t>Adquisición de 1 vaca lechera de 2.5 años</t>
  </si>
  <si>
    <t>vaca</t>
  </si>
  <si>
    <t>x) 1 × S/ 14,000 – activos biológicos en producción</t>
  </si>
  <si>
    <t>Medición a valor razonable al cierre</t>
  </si>
  <si>
    <t>Vacas</t>
  </si>
  <si>
    <t>x) Ajuste vacas en producción (grupos 1 y 3)</t>
  </si>
  <si>
    <t>x) Ajuste becerros en desarrollo (grupo 2)</t>
  </si>
  <si>
    <t>Ganancia generada por cambio</t>
  </si>
  <si>
    <t>Nota: la cuenta 76 (ganancia por medición al valor razonable) es un ingreso y no se destina a la clase 9.</t>
  </si>
  <si>
    <t>6. RESUMEN</t>
  </si>
  <si>
    <t>Reconocimiento inicial (compras + nacimiento)</t>
  </si>
  <si>
    <t>Ganancia por nacimiento de becerros</t>
  </si>
  <si>
    <t>Ganancia por cambio de valor razonable al cierre</t>
  </si>
  <si>
    <t>Valor razonable de los activos biológicos al 31.12.25</t>
  </si>
  <si>
    <t>Referencia de cuentas (PCGE)</t>
  </si>
  <si>
    <t>351 Activos biológicos en producción · 352 Activos biológicos en desarrollo</t>
  </si>
  <si>
    <t>7623 Ganancia por medición de activos no financieros al valor razonable – activos biológicos</t>
  </si>
  <si>
    <t>4656 Pasivos por compra de activo inmovilizado – activos biológicos</t>
  </si>
  <si>
    <t>Medición: valor razonable menos costos de venta (NIC 41). Cambio de VR reconocido en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</si>
</sst>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S/&quot;* #,##0.00_-;&quot;-S/&quot;* #,##0.00_-;_-&quot;S/&quot;* \-??_-;_-@_-"/>
    <numFmt numFmtId="165" formatCode="dd/mm/yy"/>
  </numFmts>
  <fonts count="12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sz val="10"/>
      <color rgb="FF595959"/>
      <name val="Arial"/>
      <family val="2"/>
    </font>
    <font>
      <b/>
      <sz val="11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FF0000"/>
      <name val="Arial"/>
      <family val="2"/>
    </font>
    <font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164" fontId="6" fillId="3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6" fillId="3" borderId="1" xfId="0" applyNumberFormat="1" applyFont="1" applyFill="1" applyBorder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right" vertical="center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right" vertical="center"/>
    </xf>
    <xf numFmtId="0" fontId="6" fillId="0" borderId="0" xfId="0" applyFont="1"/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72"/>
  <sheetViews>
    <sheetView showGridLines="0" tabSelected="1" zoomScaleNormal="100" workbookViewId="0">
      <selection activeCell="H13" sqref="H13"/>
    </sheetView>
  </sheetViews>
  <sheetFormatPr defaultColWidth="8.5703125" defaultRowHeight="14.45"/>
  <cols>
    <col min="1" max="1" width="2" customWidth="1"/>
    <col min="2" max="2" width="9" customWidth="1"/>
    <col min="3" max="3" width="13" customWidth="1"/>
    <col min="4" max="4" width="36" customWidth="1"/>
    <col min="5" max="5" width="13" customWidth="1"/>
    <col min="6" max="6" width="15" customWidth="1"/>
    <col min="7" max="7" width="13" customWidth="1"/>
    <col min="8" max="9" width="14" customWidth="1"/>
  </cols>
  <sheetData>
    <row r="1" spans="2:9" ht="16.5">
      <c r="D1" s="4" t="s">
        <v>0</v>
      </c>
    </row>
    <row r="2" spans="2:9">
      <c r="B2" s="33" t="s">
        <v>1</v>
      </c>
      <c r="C2" s="33"/>
      <c r="D2" s="33"/>
      <c r="E2" s="33"/>
      <c r="F2" s="33"/>
      <c r="G2" s="33"/>
      <c r="H2" s="33"/>
      <c r="I2" s="33"/>
    </row>
    <row r="3" spans="2:9">
      <c r="B3" s="34" t="s">
        <v>2</v>
      </c>
      <c r="C3" s="34"/>
      <c r="D3" s="34"/>
      <c r="E3" s="34"/>
      <c r="F3" s="34"/>
      <c r="G3" s="34"/>
      <c r="H3" s="34"/>
      <c r="I3" s="34"/>
    </row>
    <row r="5" spans="2:9">
      <c r="B5" s="35" t="s">
        <v>3</v>
      </c>
      <c r="C5" s="35"/>
      <c r="D5" s="35"/>
      <c r="E5" s="35"/>
      <c r="F5" s="35"/>
      <c r="G5" s="35"/>
      <c r="H5" s="35"/>
      <c r="I5" s="35"/>
    </row>
    <row r="6" spans="2:9">
      <c r="B6" s="31" t="s">
        <v>4</v>
      </c>
      <c r="C6" s="31"/>
      <c r="D6" s="31"/>
      <c r="E6" s="31"/>
      <c r="F6" s="31"/>
      <c r="G6" s="31"/>
      <c r="H6" s="31"/>
      <c r="I6" s="31"/>
    </row>
    <row r="7" spans="2:9">
      <c r="B7" s="31" t="s">
        <v>5</v>
      </c>
      <c r="C7" s="31"/>
      <c r="D7" s="31"/>
      <c r="E7" s="31"/>
      <c r="F7" s="31"/>
      <c r="G7" s="31"/>
      <c r="H7" s="31"/>
      <c r="I7" s="31"/>
    </row>
    <row r="8" spans="2:9">
      <c r="B8" s="31" t="s">
        <v>6</v>
      </c>
      <c r="C8" s="31"/>
      <c r="D8" s="31"/>
      <c r="E8" s="31"/>
      <c r="F8" s="31"/>
      <c r="G8" s="31"/>
      <c r="H8" s="31"/>
      <c r="I8" s="31"/>
    </row>
    <row r="9" spans="2:9">
      <c r="B9" s="31" t="s">
        <v>7</v>
      </c>
      <c r="C9" s="31"/>
      <c r="D9" s="31"/>
      <c r="E9" s="31"/>
      <c r="F9" s="31"/>
      <c r="G9" s="31"/>
      <c r="H9" s="31"/>
      <c r="I9" s="31"/>
    </row>
    <row r="11" spans="2:9">
      <c r="B11" s="35" t="s">
        <v>8</v>
      </c>
      <c r="C11" s="35"/>
      <c r="D11" s="35"/>
      <c r="E11" s="35"/>
      <c r="F11" s="35"/>
      <c r="G11" s="35"/>
      <c r="H11" s="35"/>
      <c r="I11" s="35"/>
    </row>
    <row r="12" spans="2:9">
      <c r="D12" s="32" t="s">
        <v>9</v>
      </c>
      <c r="E12" s="32"/>
      <c r="F12" s="32"/>
      <c r="G12" s="5" t="s">
        <v>10</v>
      </c>
    </row>
    <row r="13" spans="2:9">
      <c r="D13" s="28" t="s">
        <v>11</v>
      </c>
      <c r="E13" s="28"/>
      <c r="F13" s="28"/>
      <c r="G13" s="6">
        <v>18000</v>
      </c>
    </row>
    <row r="14" spans="2:9">
      <c r="D14" s="28" t="s">
        <v>12</v>
      </c>
      <c r="E14" s="28"/>
      <c r="F14" s="28"/>
      <c r="G14" s="6">
        <v>6000</v>
      </c>
    </row>
    <row r="15" spans="2:9">
      <c r="D15" s="28" t="s">
        <v>13</v>
      </c>
      <c r="E15" s="28"/>
      <c r="F15" s="28"/>
      <c r="G15" s="6">
        <v>14000</v>
      </c>
    </row>
    <row r="16" spans="2:9">
      <c r="D16" s="28" t="s">
        <v>14</v>
      </c>
      <c r="E16" s="28"/>
      <c r="F16" s="28"/>
      <c r="G16" s="6">
        <v>18200</v>
      </c>
    </row>
    <row r="17" spans="2:9">
      <c r="D17" s="28" t="s">
        <v>15</v>
      </c>
      <c r="E17" s="28"/>
      <c r="F17" s="28"/>
      <c r="G17" s="6">
        <v>6100</v>
      </c>
    </row>
    <row r="18" spans="2:9">
      <c r="D18" s="28" t="s">
        <v>16</v>
      </c>
      <c r="E18" s="28"/>
      <c r="F18" s="28"/>
      <c r="G18" s="6">
        <v>14200</v>
      </c>
    </row>
    <row r="19" spans="2:9">
      <c r="D19" s="28" t="s">
        <v>17</v>
      </c>
      <c r="E19" s="28"/>
      <c r="F19" s="28"/>
      <c r="G19" s="6">
        <v>18450</v>
      </c>
    </row>
    <row r="20" spans="2:9">
      <c r="D20" s="28" t="s">
        <v>18</v>
      </c>
      <c r="E20" s="28"/>
      <c r="F20" s="28"/>
      <c r="G20" s="6">
        <v>6300</v>
      </c>
    </row>
    <row r="21" spans="2:9">
      <c r="D21" s="28" t="s">
        <v>14</v>
      </c>
      <c r="E21" s="28"/>
      <c r="F21" s="28"/>
      <c r="G21" s="6">
        <v>14400</v>
      </c>
    </row>
    <row r="23" spans="2:9">
      <c r="B23" s="35" t="s">
        <v>19</v>
      </c>
      <c r="C23" s="35"/>
      <c r="D23" s="35"/>
      <c r="E23" s="35"/>
      <c r="F23" s="35"/>
      <c r="G23" s="35"/>
      <c r="H23" s="35"/>
      <c r="I23" s="35"/>
    </row>
    <row r="24" spans="2:9">
      <c r="D24" s="5" t="s">
        <v>20</v>
      </c>
      <c r="E24" s="5" t="s">
        <v>21</v>
      </c>
      <c r="F24" s="5" t="s">
        <v>10</v>
      </c>
      <c r="G24" s="5" t="s">
        <v>22</v>
      </c>
    </row>
    <row r="25" spans="2:9">
      <c r="D25" s="2" t="s">
        <v>23</v>
      </c>
      <c r="E25" s="7">
        <v>5</v>
      </c>
      <c r="F25" s="8">
        <f>G19</f>
        <v>18450</v>
      </c>
      <c r="G25" s="8">
        <f>E25*F25</f>
        <v>92250</v>
      </c>
    </row>
    <row r="26" spans="2:9">
      <c r="D26" s="2" t="s">
        <v>24</v>
      </c>
      <c r="E26" s="7">
        <v>3</v>
      </c>
      <c r="F26" s="8">
        <f>G20</f>
        <v>6300</v>
      </c>
      <c r="G26" s="8">
        <f>E26*F26</f>
        <v>18900</v>
      </c>
    </row>
    <row r="27" spans="2:9">
      <c r="D27" s="2" t="s">
        <v>25</v>
      </c>
      <c r="E27" s="7">
        <v>1</v>
      </c>
      <c r="F27" s="8">
        <f>G21</f>
        <v>14400</v>
      </c>
      <c r="G27" s="8">
        <f>E27*F27</f>
        <v>14400</v>
      </c>
    </row>
    <row r="28" spans="2:9">
      <c r="D28" s="1" t="s">
        <v>26</v>
      </c>
      <c r="E28" s="9">
        <f>E25+E26+E27</f>
        <v>9</v>
      </c>
      <c r="F28" s="10"/>
      <c r="G28" s="11">
        <f>G25+G26+G27</f>
        <v>125550</v>
      </c>
    </row>
    <row r="30" spans="2:9">
      <c r="B30" s="35" t="s">
        <v>27</v>
      </c>
      <c r="C30" s="35"/>
      <c r="D30" s="35"/>
      <c r="E30" s="35"/>
      <c r="F30" s="35"/>
      <c r="G30" s="35"/>
      <c r="H30" s="35"/>
      <c r="I30" s="35"/>
    </row>
    <row r="31" spans="2:9" ht="27.75" customHeight="1">
      <c r="D31" s="12" t="s">
        <v>28</v>
      </c>
      <c r="E31" s="12" t="s">
        <v>29</v>
      </c>
      <c r="F31" s="12" t="s">
        <v>30</v>
      </c>
      <c r="G31" s="12" t="s">
        <v>31</v>
      </c>
      <c r="H31" s="12" t="s">
        <v>32</v>
      </c>
    </row>
    <row r="32" spans="2:9">
      <c r="D32" s="2" t="s">
        <v>33</v>
      </c>
      <c r="E32" s="7">
        <f>E25</f>
        <v>5</v>
      </c>
      <c r="F32" s="13">
        <f>(G16-G13)*E25</f>
        <v>1000</v>
      </c>
      <c r="G32" s="13">
        <f>(G19-G16)*E25</f>
        <v>1250</v>
      </c>
      <c r="H32" s="13">
        <f>F32+G32</f>
        <v>2250</v>
      </c>
    </row>
    <row r="33" spans="2:9">
      <c r="D33" s="2" t="s">
        <v>34</v>
      </c>
      <c r="E33" s="7">
        <f>E26</f>
        <v>3</v>
      </c>
      <c r="F33" s="13">
        <f>(G17-G14)*E26</f>
        <v>300</v>
      </c>
      <c r="G33" s="13">
        <f>(G20-G17)*E26</f>
        <v>600</v>
      </c>
      <c r="H33" s="13">
        <f>F33+G33</f>
        <v>900</v>
      </c>
    </row>
    <row r="34" spans="2:9">
      <c r="D34" s="2" t="s">
        <v>35</v>
      </c>
      <c r="E34" s="7">
        <f>E27</f>
        <v>1</v>
      </c>
      <c r="F34" s="13">
        <f>(G18-G15)*E27</f>
        <v>200</v>
      </c>
      <c r="G34" s="13">
        <f>(G21-G18)*E27</f>
        <v>200</v>
      </c>
      <c r="H34" s="13">
        <f>F34+G34</f>
        <v>400</v>
      </c>
    </row>
    <row r="35" spans="2:9">
      <c r="D35" s="1" t="s">
        <v>36</v>
      </c>
      <c r="E35" s="10"/>
      <c r="F35" s="14">
        <f>F32+F33+F34</f>
        <v>1500</v>
      </c>
      <c r="G35" s="14">
        <f>G32+G33+G34</f>
        <v>2050</v>
      </c>
      <c r="H35" s="15">
        <f>F35+G35</f>
        <v>3550</v>
      </c>
    </row>
    <row r="36" spans="2:9">
      <c r="B36" s="30" t="s">
        <v>37</v>
      </c>
      <c r="C36" s="30"/>
      <c r="D36" s="30"/>
      <c r="E36" s="30"/>
      <c r="F36" s="30"/>
      <c r="G36" s="30"/>
      <c r="H36" s="16">
        <f>G14*E26</f>
        <v>18000</v>
      </c>
    </row>
    <row r="38" spans="2:9">
      <c r="B38" s="35" t="s">
        <v>38</v>
      </c>
      <c r="C38" s="35"/>
      <c r="D38" s="35"/>
      <c r="E38" s="35"/>
      <c r="F38" s="35"/>
      <c r="G38" s="35"/>
      <c r="H38" s="35"/>
      <c r="I38" s="35"/>
    </row>
    <row r="39" spans="2:9">
      <c r="B39" s="3" t="s">
        <v>39</v>
      </c>
      <c r="C39" s="3" t="s">
        <v>40</v>
      </c>
      <c r="D39" s="3" t="s">
        <v>41</v>
      </c>
      <c r="G39" s="3" t="s">
        <v>42</v>
      </c>
      <c r="H39" s="17" t="s">
        <v>43</v>
      </c>
      <c r="I39" s="17" t="s">
        <v>44</v>
      </c>
    </row>
    <row r="40" spans="2:9">
      <c r="B40" s="18">
        <v>1</v>
      </c>
      <c r="C40" s="19">
        <v>45659</v>
      </c>
      <c r="D40" s="20" t="s">
        <v>45</v>
      </c>
      <c r="F40" t="s">
        <v>46</v>
      </c>
      <c r="G40" s="21">
        <v>351111</v>
      </c>
      <c r="H40" s="22">
        <f>G13*E25</f>
        <v>90000</v>
      </c>
    </row>
    <row r="41" spans="2:9">
      <c r="B41" s="23"/>
      <c r="C41" s="23"/>
      <c r="D41" s="24" t="s">
        <v>47</v>
      </c>
      <c r="E41" s="23"/>
      <c r="F41" s="23"/>
      <c r="G41" s="25">
        <v>4656</v>
      </c>
      <c r="H41" s="23"/>
      <c r="I41" s="26">
        <f>G13*E25</f>
        <v>90000</v>
      </c>
    </row>
    <row r="42" spans="2:9">
      <c r="B42" s="18">
        <v>2</v>
      </c>
      <c r="C42" s="19">
        <v>45839</v>
      </c>
      <c r="D42" s="20" t="s">
        <v>48</v>
      </c>
      <c r="G42" s="21">
        <v>4656</v>
      </c>
      <c r="H42" s="22">
        <f>H40</f>
        <v>90000</v>
      </c>
    </row>
    <row r="43" spans="2:9">
      <c r="B43" s="23"/>
      <c r="C43" s="23"/>
      <c r="D43" s="24"/>
      <c r="E43" s="23"/>
      <c r="F43" s="23"/>
      <c r="G43" s="25">
        <v>1041</v>
      </c>
      <c r="H43" s="23"/>
      <c r="I43" s="26">
        <f>H42</f>
        <v>90000</v>
      </c>
    </row>
    <row r="44" spans="2:9">
      <c r="B44" s="18">
        <v>3</v>
      </c>
      <c r="C44" s="19">
        <v>45839</v>
      </c>
      <c r="D44" s="20" t="s">
        <v>49</v>
      </c>
      <c r="F44" t="s">
        <v>50</v>
      </c>
      <c r="G44" s="21">
        <v>35214</v>
      </c>
      <c r="H44" s="22">
        <f>H36</f>
        <v>18000</v>
      </c>
    </row>
    <row r="45" spans="2:9">
      <c r="B45" s="23"/>
      <c r="C45" s="23"/>
      <c r="D45" s="24" t="s">
        <v>51</v>
      </c>
      <c r="E45" s="23"/>
      <c r="F45" s="23"/>
      <c r="G45" s="25">
        <v>7622</v>
      </c>
      <c r="H45" s="23"/>
      <c r="I45" s="26">
        <f>H36</f>
        <v>18000</v>
      </c>
    </row>
    <row r="46" spans="2:9">
      <c r="B46" s="18">
        <v>4</v>
      </c>
      <c r="C46" s="19">
        <v>45839</v>
      </c>
      <c r="D46" s="20" t="s">
        <v>52</v>
      </c>
      <c r="F46" t="s">
        <v>53</v>
      </c>
      <c r="G46" s="21">
        <v>351112</v>
      </c>
      <c r="H46" s="22">
        <f>G15*E27</f>
        <v>14000</v>
      </c>
    </row>
    <row r="47" spans="2:9">
      <c r="B47" s="23"/>
      <c r="C47" s="23"/>
      <c r="D47" s="24" t="s">
        <v>54</v>
      </c>
      <c r="E47" s="23"/>
      <c r="F47" s="23"/>
      <c r="G47" s="25">
        <v>4656</v>
      </c>
      <c r="H47" s="23"/>
      <c r="I47" s="26">
        <f>G15*E27</f>
        <v>14000</v>
      </c>
    </row>
    <row r="48" spans="2:9">
      <c r="B48" s="18">
        <v>5</v>
      </c>
      <c r="C48" s="19">
        <v>45839</v>
      </c>
      <c r="D48" s="20" t="s">
        <v>48</v>
      </c>
      <c r="G48" s="21">
        <v>4656</v>
      </c>
      <c r="H48" s="22">
        <f>H46</f>
        <v>14000</v>
      </c>
    </row>
    <row r="49" spans="2:10">
      <c r="B49" s="23"/>
      <c r="C49" s="23"/>
      <c r="D49" s="24"/>
      <c r="E49" s="23"/>
      <c r="F49" s="23"/>
      <c r="G49" s="25">
        <v>1041</v>
      </c>
      <c r="H49" s="23"/>
      <c r="I49" s="26">
        <f>H48</f>
        <v>14000</v>
      </c>
    </row>
    <row r="50" spans="2:10">
      <c r="B50" s="18">
        <v>6</v>
      </c>
      <c r="C50" s="19">
        <v>46022</v>
      </c>
      <c r="D50" s="20" t="s">
        <v>55</v>
      </c>
      <c r="F50" t="s">
        <v>56</v>
      </c>
      <c r="G50" s="21">
        <v>351141</v>
      </c>
      <c r="H50" s="22">
        <f>(G25-G13*E25)+(G27-G15*E27)</f>
        <v>2650</v>
      </c>
      <c r="J50">
        <v>1000</v>
      </c>
    </row>
    <row r="51" spans="2:10">
      <c r="B51" s="18"/>
      <c r="C51" s="19"/>
      <c r="D51" s="20"/>
      <c r="F51" t="s">
        <v>56</v>
      </c>
      <c r="G51" s="21">
        <v>351142</v>
      </c>
      <c r="H51" s="22"/>
      <c r="J51">
        <v>200</v>
      </c>
    </row>
    <row r="52" spans="2:10">
      <c r="B52" s="18"/>
      <c r="C52" s="19"/>
      <c r="D52" s="20"/>
      <c r="F52" t="s">
        <v>50</v>
      </c>
      <c r="G52" s="21">
        <v>35214</v>
      </c>
      <c r="H52" s="22"/>
      <c r="J52">
        <v>300</v>
      </c>
    </row>
    <row r="53" spans="2:10">
      <c r="D53" s="20" t="s">
        <v>57</v>
      </c>
      <c r="G53" s="21">
        <v>3521</v>
      </c>
      <c r="H53" s="22">
        <f>(G26-H36)</f>
        <v>900</v>
      </c>
    </row>
    <row r="54" spans="2:10">
      <c r="B54" s="23"/>
      <c r="C54" s="23"/>
      <c r="D54" s="24" t="s">
        <v>58</v>
      </c>
      <c r="E54" s="23"/>
      <c r="F54" s="23"/>
      <c r="G54" s="25">
        <v>7622</v>
      </c>
      <c r="H54" s="23"/>
      <c r="I54" s="26">
        <f>H35</f>
        <v>3550</v>
      </c>
    </row>
    <row r="55" spans="2:10">
      <c r="B55" s="18">
        <v>6</v>
      </c>
      <c r="C55" s="19">
        <v>46022</v>
      </c>
      <c r="D55" s="20" t="s">
        <v>59</v>
      </c>
      <c r="F55" t="s">
        <v>56</v>
      </c>
      <c r="G55" s="21">
        <v>351141</v>
      </c>
      <c r="H55" s="22">
        <v>1250</v>
      </c>
    </row>
    <row r="56" spans="2:10">
      <c r="B56" s="18"/>
      <c r="C56" s="19"/>
      <c r="D56" s="20"/>
      <c r="F56" t="s">
        <v>56</v>
      </c>
      <c r="G56" s="21">
        <v>351142</v>
      </c>
      <c r="H56" s="22">
        <v>200</v>
      </c>
    </row>
    <row r="57" spans="2:10">
      <c r="B57" s="18"/>
      <c r="C57" s="19"/>
      <c r="D57" s="20"/>
      <c r="F57" t="s">
        <v>50</v>
      </c>
      <c r="G57" s="21">
        <v>35214</v>
      </c>
      <c r="H57" s="22">
        <v>600</v>
      </c>
    </row>
    <row r="58" spans="2:10">
      <c r="B58" s="23"/>
      <c r="C58" s="23"/>
      <c r="D58" s="24" t="s">
        <v>58</v>
      </c>
      <c r="E58" s="23"/>
      <c r="F58" s="23"/>
      <c r="G58" s="25">
        <v>7622</v>
      </c>
      <c r="H58" s="23"/>
      <c r="I58" s="26">
        <f>SUM(H55:H57)</f>
        <v>2050</v>
      </c>
    </row>
    <row r="60" spans="2:10">
      <c r="B60" s="36" t="s">
        <v>60</v>
      </c>
      <c r="C60" s="36"/>
      <c r="D60" s="36"/>
      <c r="E60" s="36"/>
      <c r="F60" s="36"/>
      <c r="G60" s="36"/>
      <c r="H60" s="36"/>
      <c r="I60" s="36"/>
    </row>
    <row r="62" spans="2:10">
      <c r="B62" s="35" t="s">
        <v>61</v>
      </c>
      <c r="C62" s="35"/>
      <c r="D62" s="35"/>
      <c r="E62" s="35"/>
      <c r="F62" s="35"/>
      <c r="G62" s="35"/>
      <c r="H62" s="35"/>
      <c r="I62" s="35"/>
    </row>
    <row r="63" spans="2:10">
      <c r="B63" s="28" t="s">
        <v>62</v>
      </c>
      <c r="C63" s="28"/>
      <c r="D63" s="28"/>
      <c r="E63" s="8">
        <f>G13*E25+H36+G15*E27</f>
        <v>122000</v>
      </c>
    </row>
    <row r="64" spans="2:10">
      <c r="B64" s="28" t="s">
        <v>63</v>
      </c>
      <c r="C64" s="28"/>
      <c r="D64" s="28"/>
      <c r="E64" s="8">
        <f>H36</f>
        <v>18000</v>
      </c>
    </row>
    <row r="65" spans="2:9">
      <c r="B65" s="28" t="s">
        <v>64</v>
      </c>
      <c r="C65" s="28"/>
      <c r="D65" s="28"/>
      <c r="E65" s="8">
        <f>H35</f>
        <v>3550</v>
      </c>
    </row>
    <row r="66" spans="2:9">
      <c r="B66" s="29" t="s">
        <v>65</v>
      </c>
      <c r="C66" s="29"/>
      <c r="D66" s="29"/>
      <c r="E66" s="11">
        <f>G28</f>
        <v>125550</v>
      </c>
    </row>
    <row r="68" spans="2:9">
      <c r="B68" s="27" t="s">
        <v>66</v>
      </c>
    </row>
    <row r="69" spans="2:9">
      <c r="B69" s="36" t="s">
        <v>67</v>
      </c>
      <c r="C69" s="36"/>
      <c r="D69" s="36"/>
      <c r="E69" s="36"/>
      <c r="F69" s="36"/>
      <c r="G69" s="36"/>
      <c r="H69" s="36"/>
      <c r="I69" s="36"/>
    </row>
    <row r="70" spans="2:9">
      <c r="B70" s="36" t="s">
        <v>68</v>
      </c>
      <c r="C70" s="36"/>
      <c r="D70" s="36"/>
      <c r="E70" s="36"/>
      <c r="F70" s="36"/>
      <c r="G70" s="36"/>
      <c r="H70" s="36"/>
      <c r="I70" s="36"/>
    </row>
    <row r="71" spans="2:9">
      <c r="B71" s="36" t="s">
        <v>69</v>
      </c>
      <c r="C71" s="36"/>
      <c r="D71" s="36"/>
      <c r="E71" s="36"/>
      <c r="F71" s="36"/>
      <c r="G71" s="36"/>
      <c r="H71" s="36"/>
      <c r="I71" s="36"/>
    </row>
    <row r="72" spans="2:9">
      <c r="B72" s="36" t="s">
        <v>70</v>
      </c>
      <c r="C72" s="36"/>
      <c r="D72" s="36"/>
      <c r="E72" s="36"/>
      <c r="F72" s="36"/>
      <c r="G72" s="36"/>
      <c r="H72" s="36"/>
      <c r="I72" s="36"/>
    </row>
  </sheetData>
  <mergeCells count="32">
    <mergeCell ref="B2:I2"/>
    <mergeCell ref="B3:I3"/>
    <mergeCell ref="B5:I5"/>
    <mergeCell ref="B6:I6"/>
    <mergeCell ref="B7:I7"/>
    <mergeCell ref="B8:I8"/>
    <mergeCell ref="B9:I9"/>
    <mergeCell ref="B11:I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B23:I23"/>
    <mergeCell ref="B30:I30"/>
    <mergeCell ref="B36:G36"/>
    <mergeCell ref="B38:I38"/>
    <mergeCell ref="B60:I60"/>
    <mergeCell ref="B62:I62"/>
    <mergeCell ref="B63:D63"/>
    <mergeCell ref="B71:I71"/>
    <mergeCell ref="B72:I72"/>
    <mergeCell ref="B64:D64"/>
    <mergeCell ref="B65:D65"/>
    <mergeCell ref="B66:D66"/>
    <mergeCell ref="B69:I69"/>
    <mergeCell ref="B70:I70"/>
  </mergeCells>
  <pageMargins left="0.4" right="0.4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94CF182EF98F4DA64F228B35CA215D" ma:contentTypeVersion="3" ma:contentTypeDescription="Crear nuevo documento." ma:contentTypeScope="" ma:versionID="20b8c8e210d09dea26e2f31ea3f241f0">
  <xsd:schema xmlns:xsd="http://www.w3.org/2001/XMLSchema" xmlns:xs="http://www.w3.org/2001/XMLSchema" xmlns:p="http://schemas.microsoft.com/office/2006/metadata/properties" xmlns:ns2="04c503a6-e7e8-4c2c-8c37-8c7c54fe6ebb" targetNamespace="http://schemas.microsoft.com/office/2006/metadata/properties" ma:root="true" ma:fieldsID="353321d12ad70034b9bceda12b0ba336" ns2:_="">
    <xsd:import namespace="04c503a6-e7e8-4c2c-8c37-8c7c54fe6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503a6-e7e8-4c2c-8c37-8c7c54fe6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A64D34-A5A8-4CB1-9D37-694FABF6DFF8}"/>
</file>

<file path=customXml/itemProps2.xml><?xml version="1.0" encoding="utf-8"?>
<ds:datastoreItem xmlns:ds="http://schemas.openxmlformats.org/officeDocument/2006/customXml" ds:itemID="{FA419A6F-06D1-4E4B-92EF-C04CEB74263D}"/>
</file>

<file path=customXml/itemProps3.xml><?xml version="1.0" encoding="utf-8"?>
<ds:datastoreItem xmlns:ds="http://schemas.openxmlformats.org/officeDocument/2006/customXml" ds:itemID="{94F22A2F-37DC-411E-9774-9E1E823CE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DANIEL ARAMBURU CONDORI</cp:lastModifiedBy>
  <cp:revision>0</cp:revision>
  <dcterms:created xsi:type="dcterms:W3CDTF">2026-06-04T00:31:28Z</dcterms:created>
  <dcterms:modified xsi:type="dcterms:W3CDTF">2026-06-13T23:25:00Z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0x0101004694CF182EF98F4DA64F228B35CA215D</vt:lpwstr>
  </property>
</Properties>
</file>