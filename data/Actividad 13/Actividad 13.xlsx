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smppe.sharepoint.com/sites/GRUPODEESTUDIO_e74c92/Documentos compartidos/Grupo de estudio - CONTABILIDAD/G. CICLO VI/Contabilidad por sectores/Actividad 13/"/>
    </mc:Choice>
  </mc:AlternateContent>
  <xr:revisionPtr revIDLastSave="145" documentId="11_825F3354E03DB8219AC119FB721F0AF7671CF7D7" xr6:coauthVersionLast="47" xr6:coauthVersionMax="47" xr10:uidLastSave="{C26420B3-4103-40CA-84A8-2B8F93815ADC}"/>
  <bookViews>
    <workbookView xWindow="-98" yWindow="-98" windowWidth="22695" windowHeight="14595" tabRatio="500" xr2:uid="{00000000-000D-0000-FFFF-FFFF00000000}"/>
  </bookViews>
  <sheets>
    <sheet name="ACTIVIDAD 13" sheetId="1" r:id="rId1"/>
  </sheets>
  <definedNames>
    <definedName name="_xlnm.Print_Area" localSheetId="0">'ACTIVIDAD 13'!$A$1:$I$82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0" i="1" l="1"/>
  <c r="F11" i="1"/>
  <c r="I70" i="1"/>
  <c r="H67" i="1"/>
  <c r="I61" i="1"/>
  <c r="I60" i="1"/>
  <c r="H48" i="1"/>
  <c r="H52" i="1"/>
  <c r="I72" i="1"/>
  <c r="H71" i="1"/>
  <c r="I57" i="1"/>
  <c r="H56" i="1"/>
  <c r="I44" i="1"/>
  <c r="H43" i="1"/>
  <c r="F38" i="1"/>
  <c r="F26" i="1"/>
  <c r="I68" i="1" l="1"/>
  <c r="H54" i="1"/>
  <c r="I49" i="1"/>
  <c r="I53" i="1"/>
  <c r="I30" i="1"/>
  <c r="H29" i="1"/>
  <c r="H31" i="1" s="1"/>
  <c r="I32" i="1" s="1"/>
  <c r="I17" i="1"/>
  <c r="H18" i="1" s="1"/>
  <c r="I19" i="1" s="1"/>
  <c r="H16" i="1"/>
  <c r="F13" i="1"/>
  <c r="I55" i="1" l="1"/>
  <c r="H20" i="1"/>
  <c r="I21" i="1"/>
</calcChain>
</file>

<file path=xl/sharedStrings.xml><?xml version="1.0" encoding="utf-8"?>
<sst xmlns="http://schemas.openxmlformats.org/spreadsheetml/2006/main" count="84" uniqueCount="66">
  <si>
    <t>ACTIVIDAD APLICATIVA N° 13</t>
  </si>
  <si>
    <t>Contabilidad de Sectores Económicos  |  NIC 41 Agricultura – Reconocimiento y medición de activos biológicos</t>
  </si>
  <si>
    <t>PUNTO 1 – Caso conceptual</t>
  </si>
  <si>
    <t>Pregunta: ¿Puede considerarse la actividad recreativa de un parque de diversiones (safari, caza y pesca de animales salvajes) como una actividad agroindustrial?</t>
  </si>
  <si>
    <t>PUNTO 2 – Plantación de árboles (activo biológico en desarrollo)</t>
  </si>
  <si>
    <t>Número de árboles sembrados</t>
  </si>
  <si>
    <t>Valor por árbol al inicio</t>
  </si>
  <si>
    <t>Costo inicial de la plantación</t>
  </si>
  <si>
    <t>Valor razonable neto al cierre del ejercicio</t>
  </si>
  <si>
    <t>Ganancia por medición a valor razonable</t>
  </si>
  <si>
    <t>Asiento</t>
  </si>
  <si>
    <t>Fecha</t>
  </si>
  <si>
    <t>Glosa / Descripción</t>
  </si>
  <si>
    <t>Cuenta</t>
  </si>
  <si>
    <t>Debe</t>
  </si>
  <si>
    <t>Haber</t>
  </si>
  <si>
    <t>Inicio</t>
  </si>
  <si>
    <t>Reconocimiento de la plantación (siembra)</t>
  </si>
  <si>
    <t>x) 1,800 árboles × S/ 55</t>
  </si>
  <si>
    <t>Cierre</t>
  </si>
  <si>
    <t>Medición a valor razonable al cierre</t>
  </si>
  <si>
    <t>x) VR 115,000 - costo 99,000</t>
  </si>
  <si>
    <t>PUNTO 3 – Adquisición de ganado para reproducción (activo biológico en producción)</t>
  </si>
  <si>
    <t>Cantidad de ganado</t>
  </si>
  <si>
    <t>Valor unitario</t>
  </si>
  <si>
    <t>Costo total de adquisición</t>
  </si>
  <si>
    <t>-</t>
  </si>
  <si>
    <t>Adquisición de 2 ganados reproductores</t>
  </si>
  <si>
    <t>x) 2 × S/ 45,000 – activos biológicos en producción</t>
  </si>
  <si>
    <t>PUNTOS 4 al 10 – Caso continuado: lechón a cerdo reproductor</t>
  </si>
  <si>
    <t>Evolución del valor del activo biológico</t>
  </si>
  <si>
    <t>Importe</t>
  </si>
  <si>
    <t>Costo inicial del lechón (20/02/24)</t>
  </si>
  <si>
    <t>(+) Variación de VR al 31/12/24</t>
  </si>
  <si>
    <t>(=) Valor en libros / costo por cambio de categoría</t>
  </si>
  <si>
    <t>(+) Variación de VR al 31/12/25</t>
  </si>
  <si>
    <t>(=) Valor razonable final al 31/12/25</t>
  </si>
  <si>
    <t>Compra al crédito de lechón de 3 meses</t>
  </si>
  <si>
    <t>x) Activo biológico en desarrollo (será reproductor)</t>
  </si>
  <si>
    <t>Compra de alimento balanceado (lechón en crecimiento)</t>
  </si>
  <si>
    <t>x) IGV 18%</t>
  </si>
  <si>
    <t>x) Al crédito</t>
  </si>
  <si>
    <t>Medición a VR al cierre 2024 (sobre costo inicial)</t>
  </si>
  <si>
    <t>x) Ganancia por medición al valor razonable</t>
  </si>
  <si>
    <t>Cambio de categoría: desarrollo a producción</t>
  </si>
  <si>
    <t>x) El cerdo pasa a reproductor (352 a 351)</t>
  </si>
  <si>
    <t>Compra de alimento balanceado (cerdo reproductor)</t>
  </si>
  <si>
    <t>Destino del gasto - alimento consumido (reproductor)</t>
  </si>
  <si>
    <t>Medición a VR al cierre 2025 (sobre costo por cambio de categoría)</t>
  </si>
  <si>
    <t>Nota: el alimento del lechón en crecimiento y del cerdo reproductor se reconoce como gasto del período; la cuenta 76 (ganancia por medición a VR) es un ingreso y no se destina a la clase 9.</t>
  </si>
  <si>
    <t>Referencia de cuentas (PCGE)</t>
  </si>
  <si>
    <t>351 Activos biológicos en producción · 352 Activos biológicos en desarrollo</t>
  </si>
  <si>
    <t>7623 Ganancia por medición de activos no financieros al valor razonable – activos biológicos</t>
  </si>
  <si>
    <t>4656 Pasivos por compra de activo inmovilizado · 4212 Facturas por pagar · 46 Cuentas por pagar diversas</t>
  </si>
  <si>
    <t>6033 Suministros (alimento balanceado) · 40111 IGV · 94 Gastos administrativos · 79 Cargas imputables</t>
  </si>
  <si>
    <t>Medición a valor razonable menos costos de venta (NIC 41); cambios de VR reconocidos en resultados.</t>
  </si>
  <si>
    <t>Cancelación de compra de arboles</t>
  </si>
  <si>
    <t>Pago</t>
  </si>
  <si>
    <t>Cancelación de compra 02 ganados</t>
  </si>
  <si>
    <t>Ingreso al almacen</t>
  </si>
  <si>
    <t>Consumo de alimento</t>
  </si>
  <si>
    <t>Cancelación del alimento</t>
  </si>
  <si>
    <t>Reconocimiento del acti biologico</t>
  </si>
  <si>
    <t>Consumo de alimento balanceado</t>
  </si>
  <si>
    <t>Cancelación por la compra de alimentos</t>
  </si>
  <si>
    <r>
      <t xml:space="preserve">Respuesta: NO. La NIC 41 define la actividad agrícola como la gestión de la transformación biológica y la recolección de activos biológicos para destinarlos a la venta, convertirlos en productos agrícolas o en otros activos biológicos. En el parque, los animales se mantienen con fines de entretenimiento y recreación, </t>
    </r>
    <r>
      <rPr>
        <sz val="10"/>
        <color rgb="FFFF0000"/>
        <rFont val="Arial"/>
        <family val="2"/>
      </rPr>
      <t>no para obtener un producto agrícola ni para su venta</t>
    </r>
    <r>
      <rPr>
        <sz val="10"/>
        <rFont val="Arial"/>
        <family val="2"/>
      </rPr>
      <t>; además, la caza y la pesca de animales no gestionados no constituyen actividad agrícola (NIC 41, párr. 6). Por lo tanto, no es una actividad agroindustrial y los animales del parque no califican como activos biológicos de la NIC 41.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</si>
</sst>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S/&quot;* #,##0.00_-;&quot;-S/&quot;* #,##0.00_-;_-&quot;S/&quot;* \-??_-;_-@_-"/>
    <numFmt numFmtId="165" formatCode="dd/mm/yy"/>
  </numFmts>
  <fonts count="10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0"/>
      <name val="Arial"/>
      <family val="2"/>
    </font>
    <font>
      <b/>
      <sz val="11"/>
      <color rgb="FFC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sz val="9"/>
      <color rgb="FF595959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DEEAF6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right" vertical="center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right" vertical="center"/>
    </xf>
    <xf numFmtId="165" fontId="7" fillId="0" borderId="0" xfId="0" applyNumberFormat="1" applyFont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 wrapText="1"/>
    </xf>
    <xf numFmtId="0" fontId="4" fillId="0" borderId="0" xfId="0" applyFont="1"/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0" fillId="5" borderId="0" xfId="0" applyFill="1"/>
    <xf numFmtId="0" fontId="6" fillId="5" borderId="0" xfId="0" applyFont="1" applyFill="1" applyAlignment="1">
      <alignment horizontal="center" vertical="center"/>
    </xf>
    <xf numFmtId="4" fontId="7" fillId="5" borderId="0" xfId="0" applyNumberFormat="1" applyFont="1" applyFill="1" applyAlignment="1">
      <alignment horizontal="right" vertical="center"/>
    </xf>
    <xf numFmtId="0" fontId="7" fillId="5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81"/>
  <sheetViews>
    <sheetView showGridLines="0" tabSelected="1" topLeftCell="A31" zoomScale="130" zoomScaleNormal="130" workbookViewId="0">
      <selection activeCell="I48" sqref="B48:I49"/>
    </sheetView>
  </sheetViews>
  <sheetFormatPr baseColWidth="10" defaultColWidth="8.73046875" defaultRowHeight="14.25" x14ac:dyDescent="0.45"/>
  <cols>
    <col min="1" max="1" width="2" customWidth="1"/>
    <col min="2" max="2" width="9" customWidth="1"/>
    <col min="3" max="3" width="13" customWidth="1"/>
    <col min="4" max="4" width="38" customWidth="1"/>
    <col min="5" max="5" width="13" customWidth="1"/>
    <col min="6" max="6" width="15" customWidth="1"/>
    <col min="7" max="7" width="12" customWidth="1"/>
    <col min="8" max="9" width="14" customWidth="1"/>
  </cols>
  <sheetData>
    <row r="1" spans="2:9" ht="16.899999999999999" x14ac:dyDescent="0.45">
      <c r="D1" s="2" t="s">
        <v>0</v>
      </c>
    </row>
    <row r="2" spans="2:9" x14ac:dyDescent="0.45">
      <c r="B2" s="18" t="s">
        <v>1</v>
      </c>
      <c r="C2" s="18"/>
      <c r="D2" s="18"/>
      <c r="E2" s="18"/>
      <c r="F2" s="18"/>
      <c r="G2" s="18"/>
      <c r="H2" s="18"/>
      <c r="I2" s="18"/>
    </row>
    <row r="4" spans="2:9" x14ac:dyDescent="0.45">
      <c r="B4" s="19" t="s">
        <v>2</v>
      </c>
      <c r="C4" s="19"/>
      <c r="D4" s="19"/>
      <c r="E4" s="19"/>
      <c r="F4" s="19"/>
      <c r="G4" s="19"/>
      <c r="H4" s="19"/>
      <c r="I4" s="19"/>
    </row>
    <row r="5" spans="2:9" ht="30" customHeight="1" x14ac:dyDescent="0.45">
      <c r="B5" s="20" t="s">
        <v>3</v>
      </c>
      <c r="C5" s="20"/>
      <c r="D5" s="20"/>
      <c r="E5" s="20"/>
      <c r="F5" s="20"/>
      <c r="G5" s="20"/>
      <c r="H5" s="20"/>
      <c r="I5" s="20"/>
    </row>
    <row r="6" spans="2:9" ht="72" customHeight="1" x14ac:dyDescent="0.45">
      <c r="B6" s="21" t="s">
        <v>65</v>
      </c>
      <c r="C6" s="21"/>
      <c r="D6" s="21"/>
      <c r="E6" s="21"/>
      <c r="F6" s="21"/>
      <c r="G6" s="21"/>
      <c r="H6" s="21"/>
      <c r="I6" s="21"/>
    </row>
    <row r="8" spans="2:9" x14ac:dyDescent="0.45">
      <c r="B8" s="19" t="s">
        <v>4</v>
      </c>
      <c r="C8" s="19"/>
      <c r="D8" s="19"/>
      <c r="E8" s="19"/>
      <c r="F8" s="19"/>
      <c r="G8" s="19"/>
      <c r="H8" s="19"/>
      <c r="I8" s="19"/>
    </row>
    <row r="9" spans="2:9" x14ac:dyDescent="0.45">
      <c r="B9" s="22" t="s">
        <v>5</v>
      </c>
      <c r="C9" s="22"/>
      <c r="D9" s="22"/>
      <c r="E9" s="22"/>
      <c r="F9" s="3">
        <v>1800</v>
      </c>
    </row>
    <row r="10" spans="2:9" x14ac:dyDescent="0.45">
      <c r="B10" s="22" t="s">
        <v>6</v>
      </c>
      <c r="C10" s="22"/>
      <c r="D10" s="22"/>
      <c r="E10" s="22"/>
      <c r="F10" s="4">
        <v>55</v>
      </c>
    </row>
    <row r="11" spans="2:9" x14ac:dyDescent="0.45">
      <c r="B11" s="23" t="s">
        <v>7</v>
      </c>
      <c r="C11" s="23"/>
      <c r="D11" s="23"/>
      <c r="E11" s="23"/>
      <c r="F11" s="5">
        <f>F9*F10</f>
        <v>99000</v>
      </c>
    </row>
    <row r="12" spans="2:9" x14ac:dyDescent="0.45">
      <c r="B12" s="22" t="s">
        <v>8</v>
      </c>
      <c r="C12" s="22"/>
      <c r="D12" s="22"/>
      <c r="E12" s="22"/>
      <c r="F12" s="6">
        <v>115000</v>
      </c>
    </row>
    <row r="13" spans="2:9" x14ac:dyDescent="0.45">
      <c r="B13" s="23" t="s">
        <v>9</v>
      </c>
      <c r="C13" s="23"/>
      <c r="D13" s="23"/>
      <c r="E13" s="23"/>
      <c r="F13" s="5">
        <f>F12-F11</f>
        <v>16000</v>
      </c>
    </row>
    <row r="15" spans="2:9" x14ac:dyDescent="0.45">
      <c r="B15" s="1" t="s">
        <v>10</v>
      </c>
      <c r="C15" s="1" t="s">
        <v>11</v>
      </c>
      <c r="D15" s="1" t="s">
        <v>12</v>
      </c>
      <c r="G15" s="1" t="s">
        <v>13</v>
      </c>
      <c r="H15" s="7" t="s">
        <v>14</v>
      </c>
      <c r="I15" s="7" t="s">
        <v>15</v>
      </c>
    </row>
    <row r="16" spans="2:9" x14ac:dyDescent="0.45">
      <c r="B16" s="8">
        <v>1</v>
      </c>
      <c r="C16" s="8" t="s">
        <v>16</v>
      </c>
      <c r="D16" s="9" t="s">
        <v>17</v>
      </c>
      <c r="G16" s="10">
        <v>35221</v>
      </c>
      <c r="H16" s="11">
        <f>F11</f>
        <v>99000</v>
      </c>
    </row>
    <row r="17" spans="2:9" x14ac:dyDescent="0.45">
      <c r="B17" s="12"/>
      <c r="C17" s="12"/>
      <c r="D17" s="13" t="s">
        <v>18</v>
      </c>
      <c r="E17" s="12"/>
      <c r="F17" s="12"/>
      <c r="G17" s="14">
        <v>4656</v>
      </c>
      <c r="H17" s="12"/>
      <c r="I17" s="15">
        <f>F11</f>
        <v>99000</v>
      </c>
    </row>
    <row r="18" spans="2:9" x14ac:dyDescent="0.45">
      <c r="B18" s="8">
        <v>2</v>
      </c>
      <c r="C18" s="8" t="s">
        <v>57</v>
      </c>
      <c r="D18" s="9" t="s">
        <v>56</v>
      </c>
      <c r="G18" s="10">
        <v>4656</v>
      </c>
      <c r="H18" s="11">
        <f>I17</f>
        <v>99000</v>
      </c>
    </row>
    <row r="19" spans="2:9" x14ac:dyDescent="0.45">
      <c r="B19" s="12"/>
      <c r="C19" s="12"/>
      <c r="D19" s="13" t="s">
        <v>18</v>
      </c>
      <c r="E19" s="12"/>
      <c r="F19" s="12"/>
      <c r="G19" s="14">
        <v>1041</v>
      </c>
      <c r="H19" s="12"/>
      <c r="I19" s="15">
        <f>H18</f>
        <v>99000</v>
      </c>
    </row>
    <row r="20" spans="2:9" x14ac:dyDescent="0.45">
      <c r="B20" s="8">
        <v>3</v>
      </c>
      <c r="C20" s="8" t="s">
        <v>19</v>
      </c>
      <c r="D20" s="9" t="s">
        <v>20</v>
      </c>
      <c r="G20" s="10">
        <v>35224</v>
      </c>
      <c r="H20" s="11">
        <f>F13</f>
        <v>16000</v>
      </c>
    </row>
    <row r="21" spans="2:9" x14ac:dyDescent="0.45">
      <c r="B21" s="12"/>
      <c r="C21" s="12"/>
      <c r="D21" s="13" t="s">
        <v>21</v>
      </c>
      <c r="E21" s="12"/>
      <c r="F21" s="12"/>
      <c r="G21" s="14">
        <v>7622</v>
      </c>
      <c r="H21" s="12"/>
      <c r="I21" s="15">
        <f>F13</f>
        <v>16000</v>
      </c>
    </row>
    <row r="23" spans="2:9" x14ac:dyDescent="0.45">
      <c r="B23" s="19" t="s">
        <v>22</v>
      </c>
      <c r="C23" s="19"/>
      <c r="D23" s="19"/>
      <c r="E23" s="19"/>
      <c r="F23" s="19"/>
      <c r="G23" s="19"/>
      <c r="H23" s="19"/>
      <c r="I23" s="19"/>
    </row>
    <row r="24" spans="2:9" x14ac:dyDescent="0.45">
      <c r="B24" s="22" t="s">
        <v>23</v>
      </c>
      <c r="C24" s="22"/>
      <c r="D24" s="22"/>
      <c r="E24" s="22"/>
      <c r="F24" s="3">
        <v>2</v>
      </c>
    </row>
    <row r="25" spans="2:9" x14ac:dyDescent="0.45">
      <c r="B25" s="22" t="s">
        <v>24</v>
      </c>
      <c r="C25" s="22"/>
      <c r="D25" s="22"/>
      <c r="E25" s="22"/>
      <c r="F25" s="6">
        <v>45000</v>
      </c>
    </row>
    <row r="26" spans="2:9" x14ac:dyDescent="0.45">
      <c r="B26" s="23" t="s">
        <v>25</v>
      </c>
      <c r="C26" s="23"/>
      <c r="D26" s="23"/>
      <c r="E26" s="23"/>
      <c r="F26" s="5">
        <f>F24*F25</f>
        <v>90000</v>
      </c>
    </row>
    <row r="28" spans="2:9" x14ac:dyDescent="0.45">
      <c r="B28" s="1" t="s">
        <v>10</v>
      </c>
      <c r="C28" s="1" t="s">
        <v>11</v>
      </c>
      <c r="D28" s="1" t="s">
        <v>12</v>
      </c>
      <c r="G28" s="1" t="s">
        <v>13</v>
      </c>
      <c r="H28" s="7" t="s">
        <v>14</v>
      </c>
      <c r="I28" s="7" t="s">
        <v>15</v>
      </c>
    </row>
    <row r="29" spans="2:9" x14ac:dyDescent="0.45">
      <c r="B29" s="8">
        <v>1</v>
      </c>
      <c r="C29" s="8" t="s">
        <v>26</v>
      </c>
      <c r="D29" s="9" t="s">
        <v>27</v>
      </c>
      <c r="G29" s="10">
        <v>35111</v>
      </c>
      <c r="H29" s="11">
        <f>F26</f>
        <v>90000</v>
      </c>
    </row>
    <row r="30" spans="2:9" x14ac:dyDescent="0.45">
      <c r="B30" s="12"/>
      <c r="C30" s="12"/>
      <c r="D30" s="13" t="s">
        <v>28</v>
      </c>
      <c r="E30" s="12"/>
      <c r="F30" s="12"/>
      <c r="G30" s="14">
        <v>4656</v>
      </c>
      <c r="H30" s="12"/>
      <c r="I30" s="15">
        <f>F26</f>
        <v>90000</v>
      </c>
    </row>
    <row r="31" spans="2:9" x14ac:dyDescent="0.45">
      <c r="B31" s="8">
        <v>2</v>
      </c>
      <c r="C31" s="8" t="s">
        <v>26</v>
      </c>
      <c r="D31" s="9" t="s">
        <v>58</v>
      </c>
      <c r="G31" s="10">
        <v>466</v>
      </c>
      <c r="H31" s="11">
        <f>H29</f>
        <v>90000</v>
      </c>
    </row>
    <row r="32" spans="2:9" x14ac:dyDescent="0.45">
      <c r="B32" s="12"/>
      <c r="C32" s="12"/>
      <c r="D32" s="13"/>
      <c r="E32" s="12"/>
      <c r="F32" s="12"/>
      <c r="G32" s="14">
        <v>1041</v>
      </c>
      <c r="H32" s="12"/>
      <c r="I32" s="15">
        <f>H31</f>
        <v>90000</v>
      </c>
    </row>
    <row r="34" spans="2:9" x14ac:dyDescent="0.45">
      <c r="B34" s="19" t="s">
        <v>29</v>
      </c>
      <c r="C34" s="19"/>
      <c r="D34" s="19"/>
      <c r="E34" s="19"/>
      <c r="F34" s="19"/>
      <c r="G34" s="19"/>
      <c r="H34" s="19"/>
      <c r="I34" s="19"/>
    </row>
    <row r="35" spans="2:9" x14ac:dyDescent="0.45">
      <c r="D35" s="24" t="s">
        <v>30</v>
      </c>
      <c r="E35" s="24"/>
      <c r="F35" s="1" t="s">
        <v>31</v>
      </c>
    </row>
    <row r="36" spans="2:9" x14ac:dyDescent="0.45">
      <c r="B36" s="22" t="s">
        <v>32</v>
      </c>
      <c r="C36" s="22"/>
      <c r="D36" s="22"/>
      <c r="E36" s="22"/>
      <c r="F36" s="6">
        <v>5000</v>
      </c>
    </row>
    <row r="37" spans="2:9" x14ac:dyDescent="0.45">
      <c r="B37" s="22" t="s">
        <v>33</v>
      </c>
      <c r="C37" s="22"/>
      <c r="D37" s="22"/>
      <c r="E37" s="22"/>
      <c r="F37" s="6">
        <v>21000</v>
      </c>
    </row>
    <row r="38" spans="2:9" x14ac:dyDescent="0.45">
      <c r="B38" s="23" t="s">
        <v>34</v>
      </c>
      <c r="C38" s="23"/>
      <c r="D38" s="23"/>
      <c r="E38" s="23"/>
      <c r="F38" s="5">
        <f>F36+F37</f>
        <v>26000</v>
      </c>
    </row>
    <row r="39" spans="2:9" x14ac:dyDescent="0.45">
      <c r="B39" s="22" t="s">
        <v>35</v>
      </c>
      <c r="C39" s="22"/>
      <c r="D39" s="22"/>
      <c r="E39" s="22"/>
      <c r="F39" s="6">
        <v>10000</v>
      </c>
    </row>
    <row r="40" spans="2:9" x14ac:dyDescent="0.45">
      <c r="B40" s="23" t="s">
        <v>36</v>
      </c>
      <c r="C40" s="23"/>
      <c r="D40" s="23"/>
      <c r="E40" s="23"/>
      <c r="F40" s="5">
        <f>F38+F39</f>
        <v>36000</v>
      </c>
    </row>
    <row r="42" spans="2:9" x14ac:dyDescent="0.45">
      <c r="B42" s="1" t="s">
        <v>10</v>
      </c>
      <c r="C42" s="1" t="s">
        <v>11</v>
      </c>
      <c r="D42" s="1" t="s">
        <v>12</v>
      </c>
      <c r="G42" s="1" t="s">
        <v>13</v>
      </c>
      <c r="H42" s="7" t="s">
        <v>14</v>
      </c>
      <c r="I42" s="7" t="s">
        <v>15</v>
      </c>
    </row>
    <row r="43" spans="2:9" x14ac:dyDescent="0.45">
      <c r="B43" s="8">
        <v>4</v>
      </c>
      <c r="C43" s="16">
        <v>45342</v>
      </c>
      <c r="D43" s="9" t="s">
        <v>37</v>
      </c>
      <c r="G43" s="10">
        <v>35211</v>
      </c>
      <c r="H43" s="11">
        <f>F36</f>
        <v>5000</v>
      </c>
    </row>
    <row r="44" spans="2:9" x14ac:dyDescent="0.45">
      <c r="B44" s="12"/>
      <c r="C44" s="12"/>
      <c r="D44" s="13" t="s">
        <v>38</v>
      </c>
      <c r="E44" s="12"/>
      <c r="F44" s="12"/>
      <c r="G44" s="14">
        <v>4656</v>
      </c>
      <c r="H44" s="12"/>
      <c r="I44" s="15">
        <f>F36</f>
        <v>5000</v>
      </c>
    </row>
    <row r="45" spans="2:9" x14ac:dyDescent="0.45">
      <c r="B45" s="8">
        <v>5</v>
      </c>
      <c r="C45" s="16">
        <v>45347</v>
      </c>
      <c r="D45" s="9" t="s">
        <v>39</v>
      </c>
      <c r="G45" s="10">
        <v>6032</v>
      </c>
      <c r="H45" s="11">
        <v>40000</v>
      </c>
    </row>
    <row r="46" spans="2:9" x14ac:dyDescent="0.45">
      <c r="D46" s="9" t="s">
        <v>40</v>
      </c>
      <c r="G46" s="10">
        <v>40111</v>
      </c>
      <c r="H46" s="11">
        <v>7200</v>
      </c>
    </row>
    <row r="47" spans="2:9" x14ac:dyDescent="0.45">
      <c r="B47" s="12"/>
      <c r="C47" s="12"/>
      <c r="D47" s="13" t="s">
        <v>41</v>
      </c>
      <c r="E47" s="12"/>
      <c r="F47" s="12"/>
      <c r="G47" s="14">
        <v>4212</v>
      </c>
      <c r="H47" s="12"/>
      <c r="I47" s="15">
        <v>47200</v>
      </c>
    </row>
    <row r="48" spans="2:9" x14ac:dyDescent="0.45">
      <c r="B48" s="28">
        <v>6</v>
      </c>
      <c r="C48" s="30"/>
      <c r="D48" s="29" t="s">
        <v>61</v>
      </c>
      <c r="E48" s="30"/>
      <c r="F48" s="30"/>
      <c r="G48" s="31">
        <v>4212</v>
      </c>
      <c r="H48" s="32">
        <f>I47</f>
        <v>47200</v>
      </c>
      <c r="I48" s="30"/>
    </row>
    <row r="49" spans="2:9" x14ac:dyDescent="0.45">
      <c r="B49" s="33"/>
      <c r="C49" s="33"/>
      <c r="D49" s="33"/>
      <c r="E49" s="33"/>
      <c r="F49" s="33"/>
      <c r="G49" s="34">
        <v>1041</v>
      </c>
      <c r="H49" s="33"/>
      <c r="I49" s="35">
        <f>H48</f>
        <v>47200</v>
      </c>
    </row>
    <row r="50" spans="2:9" x14ac:dyDescent="0.45">
      <c r="B50" s="8">
        <v>7</v>
      </c>
      <c r="D50" s="9" t="s">
        <v>59</v>
      </c>
      <c r="G50" s="10">
        <v>252</v>
      </c>
      <c r="H50" s="11">
        <v>40000</v>
      </c>
    </row>
    <row r="51" spans="2:9" x14ac:dyDescent="0.45">
      <c r="B51" s="12"/>
      <c r="C51" s="12"/>
      <c r="D51" s="12"/>
      <c r="E51" s="12"/>
      <c r="F51" s="12"/>
      <c r="G51" s="14">
        <v>6132</v>
      </c>
      <c r="H51" s="12"/>
      <c r="I51" s="15">
        <v>40000</v>
      </c>
    </row>
    <row r="52" spans="2:9" x14ac:dyDescent="0.45">
      <c r="B52" s="8">
        <v>8</v>
      </c>
      <c r="C52" s="16">
        <v>45657</v>
      </c>
      <c r="D52" s="9" t="s">
        <v>60</v>
      </c>
      <c r="G52" s="10">
        <v>6132</v>
      </c>
      <c r="H52" s="11">
        <f>I51</f>
        <v>40000</v>
      </c>
    </row>
    <row r="53" spans="2:9" x14ac:dyDescent="0.45">
      <c r="B53" s="12"/>
      <c r="C53" s="12"/>
      <c r="D53" s="13"/>
      <c r="E53" s="12"/>
      <c r="F53" s="12"/>
      <c r="G53" s="14">
        <v>252</v>
      </c>
      <c r="H53" s="12"/>
      <c r="I53" s="15">
        <f>H52</f>
        <v>40000</v>
      </c>
    </row>
    <row r="54" spans="2:9" x14ac:dyDescent="0.45">
      <c r="B54" s="8">
        <v>9</v>
      </c>
      <c r="C54" s="16">
        <v>45657</v>
      </c>
      <c r="D54" s="9" t="s">
        <v>62</v>
      </c>
      <c r="G54" s="10">
        <v>35211</v>
      </c>
      <c r="H54" s="11">
        <f>H52</f>
        <v>40000</v>
      </c>
    </row>
    <row r="55" spans="2:9" x14ac:dyDescent="0.45">
      <c r="B55" s="12"/>
      <c r="C55" s="12"/>
      <c r="D55" s="13" t="s">
        <v>63</v>
      </c>
      <c r="E55" s="12"/>
      <c r="F55" s="12"/>
      <c r="G55" s="14">
        <v>7241</v>
      </c>
      <c r="H55" s="12"/>
      <c r="I55" s="15">
        <f>H54</f>
        <v>40000</v>
      </c>
    </row>
    <row r="56" spans="2:9" x14ac:dyDescent="0.45">
      <c r="B56" s="8">
        <v>10</v>
      </c>
      <c r="C56" s="16">
        <v>45657</v>
      </c>
      <c r="D56" s="9" t="s">
        <v>42</v>
      </c>
      <c r="G56" s="10">
        <v>35214</v>
      </c>
      <c r="H56" s="11">
        <f>F37</f>
        <v>21000</v>
      </c>
    </row>
    <row r="57" spans="2:9" x14ac:dyDescent="0.45">
      <c r="B57" s="12"/>
      <c r="C57" s="12"/>
      <c r="D57" s="13" t="s">
        <v>43</v>
      </c>
      <c r="E57" s="12"/>
      <c r="F57" s="12"/>
      <c r="G57" s="14">
        <v>7622</v>
      </c>
      <c r="H57" s="12"/>
      <c r="I57" s="15">
        <f>F37</f>
        <v>21000</v>
      </c>
    </row>
    <row r="58" spans="2:9" x14ac:dyDescent="0.45">
      <c r="B58" s="8">
        <v>11</v>
      </c>
      <c r="C58" s="16">
        <v>45914</v>
      </c>
      <c r="D58" s="9" t="s">
        <v>44</v>
      </c>
      <c r="G58" s="10">
        <v>35111</v>
      </c>
      <c r="H58" s="11">
        <v>45000</v>
      </c>
    </row>
    <row r="59" spans="2:9" x14ac:dyDescent="0.45">
      <c r="B59" s="8"/>
      <c r="C59" s="16"/>
      <c r="D59" s="9"/>
      <c r="G59" s="10">
        <v>35114</v>
      </c>
      <c r="H59" s="11">
        <v>21000</v>
      </c>
    </row>
    <row r="60" spans="2:9" x14ac:dyDescent="0.45">
      <c r="B60" s="8"/>
      <c r="C60" s="16"/>
      <c r="D60" s="9"/>
      <c r="G60" s="10">
        <v>35211</v>
      </c>
      <c r="H60" s="11"/>
      <c r="I60" s="17">
        <f>H58</f>
        <v>45000</v>
      </c>
    </row>
    <row r="61" spans="2:9" x14ac:dyDescent="0.45">
      <c r="B61" s="12"/>
      <c r="C61" s="12"/>
      <c r="D61" s="13" t="s">
        <v>45</v>
      </c>
      <c r="E61" s="12"/>
      <c r="F61" s="12"/>
      <c r="G61" s="14">
        <v>35214</v>
      </c>
      <c r="H61" s="12"/>
      <c r="I61" s="15">
        <f>H59</f>
        <v>21000</v>
      </c>
    </row>
    <row r="62" spans="2:9" x14ac:dyDescent="0.45">
      <c r="B62" s="8">
        <v>12</v>
      </c>
      <c r="C62" s="16">
        <v>45914</v>
      </c>
      <c r="D62" s="9" t="s">
        <v>46</v>
      </c>
      <c r="G62" s="10">
        <v>6032</v>
      </c>
      <c r="H62" s="11">
        <v>20000</v>
      </c>
    </row>
    <row r="63" spans="2:9" x14ac:dyDescent="0.45">
      <c r="D63" s="9" t="s">
        <v>40</v>
      </c>
      <c r="G63" s="10">
        <v>40111</v>
      </c>
      <c r="H63" s="11">
        <v>3600</v>
      </c>
    </row>
    <row r="64" spans="2:9" x14ac:dyDescent="0.45">
      <c r="B64" s="12"/>
      <c r="C64" s="12"/>
      <c r="D64" s="13" t="s">
        <v>41</v>
      </c>
      <c r="E64" s="12"/>
      <c r="F64" s="12"/>
      <c r="G64" s="14">
        <v>4212</v>
      </c>
      <c r="H64" s="12"/>
      <c r="I64" s="15">
        <v>23600</v>
      </c>
    </row>
    <row r="65" spans="2:9" x14ac:dyDescent="0.45">
      <c r="B65" s="8">
        <v>13</v>
      </c>
      <c r="C65" s="16">
        <v>45922</v>
      </c>
      <c r="D65" s="9" t="s">
        <v>47</v>
      </c>
      <c r="G65" s="10">
        <v>252</v>
      </c>
      <c r="H65" s="11">
        <v>20000</v>
      </c>
    </row>
    <row r="66" spans="2:9" x14ac:dyDescent="0.45">
      <c r="B66" s="12"/>
      <c r="C66" s="12"/>
      <c r="D66" s="12"/>
      <c r="E66" s="12"/>
      <c r="F66" s="12"/>
      <c r="G66" s="14">
        <v>6132</v>
      </c>
      <c r="H66" s="12"/>
      <c r="I66" s="15">
        <v>20000</v>
      </c>
    </row>
    <row r="67" spans="2:9" x14ac:dyDescent="0.45">
      <c r="B67" s="8">
        <v>14</v>
      </c>
      <c r="C67" s="16">
        <v>45922</v>
      </c>
      <c r="D67" s="9" t="s">
        <v>64</v>
      </c>
      <c r="G67" s="10">
        <v>4212</v>
      </c>
      <c r="H67" s="11">
        <f>I64</f>
        <v>23600</v>
      </c>
    </row>
    <row r="68" spans="2:9" x14ac:dyDescent="0.45">
      <c r="B68" s="12"/>
      <c r="C68" s="12"/>
      <c r="D68" s="12"/>
      <c r="E68" s="12"/>
      <c r="F68" s="12"/>
      <c r="G68" s="14">
        <v>1041</v>
      </c>
      <c r="H68" s="12"/>
      <c r="I68" s="15">
        <f>H67</f>
        <v>23600</v>
      </c>
    </row>
    <row r="69" spans="2:9" x14ac:dyDescent="0.45">
      <c r="B69" s="8">
        <v>15</v>
      </c>
      <c r="C69" s="16">
        <v>45922</v>
      </c>
      <c r="D69" s="9" t="s">
        <v>60</v>
      </c>
      <c r="G69" s="10">
        <v>6132</v>
      </c>
      <c r="H69" s="11">
        <v>20000</v>
      </c>
    </row>
    <row r="70" spans="2:9" x14ac:dyDescent="0.45">
      <c r="B70" s="12"/>
      <c r="C70" s="12"/>
      <c r="D70" s="12"/>
      <c r="E70" s="12"/>
      <c r="F70" s="12"/>
      <c r="G70" s="14">
        <v>252</v>
      </c>
      <c r="H70" s="12"/>
      <c r="I70" s="15">
        <f>H69</f>
        <v>20000</v>
      </c>
    </row>
    <row r="71" spans="2:9" x14ac:dyDescent="0.45">
      <c r="B71" s="8">
        <v>16</v>
      </c>
      <c r="C71" s="16">
        <v>46022</v>
      </c>
      <c r="D71" s="9" t="s">
        <v>48</v>
      </c>
      <c r="G71" s="10">
        <v>3511</v>
      </c>
      <c r="H71" s="11">
        <f>F39</f>
        <v>10000</v>
      </c>
    </row>
    <row r="72" spans="2:9" x14ac:dyDescent="0.45">
      <c r="B72" s="12"/>
      <c r="C72" s="12"/>
      <c r="D72" s="13" t="s">
        <v>43</v>
      </c>
      <c r="E72" s="12"/>
      <c r="F72" s="12"/>
      <c r="G72" s="14">
        <v>7622</v>
      </c>
      <c r="H72" s="12"/>
      <c r="I72" s="15">
        <f>F39</f>
        <v>10000</v>
      </c>
    </row>
    <row r="74" spans="2:9" ht="25.5" customHeight="1" x14ac:dyDescent="0.45">
      <c r="B74" s="26" t="s">
        <v>49</v>
      </c>
      <c r="C74" s="26"/>
      <c r="D74" s="26"/>
      <c r="E74" s="26"/>
      <c r="F74" s="26"/>
      <c r="G74" s="26"/>
      <c r="H74" s="26"/>
      <c r="I74" s="26"/>
    </row>
    <row r="76" spans="2:9" x14ac:dyDescent="0.45">
      <c r="B76" s="27" t="s">
        <v>50</v>
      </c>
      <c r="C76" s="27"/>
      <c r="D76" s="27"/>
      <c r="E76" s="27"/>
      <c r="F76" s="27"/>
      <c r="G76" s="27"/>
      <c r="H76" s="27"/>
      <c r="I76" s="27"/>
    </row>
    <row r="77" spans="2:9" x14ac:dyDescent="0.45">
      <c r="B77" s="25" t="s">
        <v>51</v>
      </c>
      <c r="C77" s="25"/>
      <c r="D77" s="25"/>
      <c r="E77" s="25"/>
      <c r="F77" s="25"/>
      <c r="G77" s="25"/>
      <c r="H77" s="25"/>
      <c r="I77" s="25"/>
    </row>
    <row r="78" spans="2:9" x14ac:dyDescent="0.45">
      <c r="B78" s="25" t="s">
        <v>52</v>
      </c>
      <c r="C78" s="25"/>
      <c r="D78" s="25"/>
      <c r="E78" s="25"/>
      <c r="F78" s="25"/>
      <c r="G78" s="25"/>
      <c r="H78" s="25"/>
      <c r="I78" s="25"/>
    </row>
    <row r="79" spans="2:9" x14ac:dyDescent="0.45">
      <c r="B79" s="25" t="s">
        <v>53</v>
      </c>
      <c r="C79" s="25"/>
      <c r="D79" s="25"/>
      <c r="E79" s="25"/>
      <c r="F79" s="25"/>
      <c r="G79" s="25"/>
      <c r="H79" s="25"/>
      <c r="I79" s="25"/>
    </row>
    <row r="80" spans="2:9" x14ac:dyDescent="0.45">
      <c r="B80" s="25" t="s">
        <v>54</v>
      </c>
      <c r="C80" s="25"/>
      <c r="D80" s="25"/>
      <c r="E80" s="25"/>
      <c r="F80" s="25"/>
      <c r="G80" s="25"/>
      <c r="H80" s="25"/>
      <c r="I80" s="25"/>
    </row>
    <row r="81" spans="2:9" x14ac:dyDescent="0.45">
      <c r="B81" s="25" t="s">
        <v>55</v>
      </c>
      <c r="C81" s="25"/>
      <c r="D81" s="25"/>
      <c r="E81" s="25"/>
      <c r="F81" s="25"/>
      <c r="G81" s="25"/>
      <c r="H81" s="25"/>
      <c r="I81" s="25"/>
    </row>
  </sheetData>
  <mergeCells count="28">
    <mergeCell ref="B79:I79"/>
    <mergeCell ref="B80:I80"/>
    <mergeCell ref="B81:I81"/>
    <mergeCell ref="B40:E40"/>
    <mergeCell ref="B74:I74"/>
    <mergeCell ref="B76:I76"/>
    <mergeCell ref="B77:I77"/>
    <mergeCell ref="B78:I78"/>
    <mergeCell ref="D35:E35"/>
    <mergeCell ref="B36:E36"/>
    <mergeCell ref="B37:E37"/>
    <mergeCell ref="B38:E38"/>
    <mergeCell ref="B39:E39"/>
    <mergeCell ref="B23:I23"/>
    <mergeCell ref="B24:E24"/>
    <mergeCell ref="B25:E25"/>
    <mergeCell ref="B26:E26"/>
    <mergeCell ref="B34:I34"/>
    <mergeCell ref="B9:E9"/>
    <mergeCell ref="B10:E10"/>
    <mergeCell ref="B11:E11"/>
    <mergeCell ref="B12:E12"/>
    <mergeCell ref="B13:E13"/>
    <mergeCell ref="B2:I2"/>
    <mergeCell ref="B4:I4"/>
    <mergeCell ref="B5:I5"/>
    <mergeCell ref="B6:I6"/>
    <mergeCell ref="B8:I8"/>
  </mergeCells>
  <pageMargins left="0.4" right="0.4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908244-8F51-4583-B613-70B6748D34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503a6-e7e8-4c2c-8c37-8c7c54fe6e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7A8453-5063-4C5A-92DB-C8A776A7D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299FE4-0C34-40A2-B996-E643F6506A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ACTIVIDAD 13</vt:lpstr>
      <vt:lpstr>'ACTIVIDAD 13'!Área_de_impresión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 MARTIN CARRION CASTRO</cp:lastModifiedBy>
  <cp:revision>0</cp:revision>
  <dcterms:created xsi:type="dcterms:W3CDTF">2026-06-08T23:32:55Z</dcterms:created>
  <dcterms:modified xsi:type="dcterms:W3CDTF">2026-06-18T00:27:50Z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