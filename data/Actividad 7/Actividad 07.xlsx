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usmppe.sharepoint.com/sites/GRUPODEESTUDIO_e74c92/Documentos compartidos/Grupo de estudio - CONTABILIDAD/G. CICLO VI/Contabilidad por sectores/Actividad 7/"/>
    </mc:Choice>
  </mc:AlternateContent>
  <xr:revisionPtr revIDLastSave="158" documentId="11_94490E5CE176FDBA659C585364DC1A3476175AE1" xr6:coauthVersionLast="47" xr6:coauthVersionMax="47" xr10:uidLastSave="{F2BD2290-031D-49AC-A724-EEEEB51A5D8C}"/>
  <bookViews>
    <workbookView xWindow="-98" yWindow="-98" windowWidth="22695" windowHeight="14595" tabRatio="500" activeTab="3" xr2:uid="{00000000-000D-0000-FFFF-FFFF00000000}"/>
  </bookViews>
  <sheets>
    <sheet name="Resumen" sheetId="1" r:id="rId1"/>
    <sheet name="T1 - Cruz Alonso" sheetId="2" r:id="rId2"/>
    <sheet name="T2 - Salas Diego" sheetId="3" r:id="rId3"/>
    <sheet name="T3 - Pérez Gino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90" i="2" l="1"/>
  <c r="G90" i="2"/>
  <c r="D83" i="2"/>
  <c r="D65" i="2"/>
  <c r="D61" i="2"/>
  <c r="F45" i="2"/>
  <c r="F44" i="2"/>
  <c r="B44" i="2"/>
  <c r="E36" i="2"/>
  <c r="G35" i="2"/>
  <c r="D35" i="2"/>
  <c r="B35" i="2"/>
  <c r="B31" i="2"/>
  <c r="G95" i="2"/>
  <c r="B35" i="3"/>
  <c r="D31" i="3"/>
  <c r="D11" i="2"/>
  <c r="C36" i="2"/>
  <c r="B66" i="3"/>
  <c r="C66" i="3"/>
  <c r="F31" i="3" l="1"/>
  <c r="G97" i="2"/>
  <c r="E60" i="3"/>
  <c r="E62" i="3"/>
  <c r="B27" i="2"/>
  <c r="D27" i="2" s="1"/>
  <c r="C57" i="4"/>
  <c r="C61" i="4" s="1"/>
  <c r="C52" i="4"/>
  <c r="E52" i="4" s="1"/>
  <c r="B39" i="4"/>
  <c r="D39" i="4" s="1"/>
  <c r="G39" i="4" s="1"/>
  <c r="C40" i="4" s="1"/>
  <c r="E40" i="4" s="1"/>
  <c r="D27" i="4"/>
  <c r="D23" i="4"/>
  <c r="D11" i="1" s="1"/>
  <c r="B15" i="4"/>
  <c r="D15" i="4" s="1"/>
  <c r="D9" i="1" s="1"/>
  <c r="D11" i="4"/>
  <c r="C62" i="3"/>
  <c r="C57" i="3"/>
  <c r="E57" i="3" s="1"/>
  <c r="B52" i="3"/>
  <c r="F52" i="3" s="1"/>
  <c r="F53" i="3" s="1"/>
  <c r="C18" i="1" s="1"/>
  <c r="B43" i="3"/>
  <c r="D43" i="3" s="1"/>
  <c r="G43" i="3" s="1"/>
  <c r="C44" i="3" s="1"/>
  <c r="E44" i="3" s="1"/>
  <c r="D35" i="3"/>
  <c r="C13" i="1"/>
  <c r="E13" i="1" s="1"/>
  <c r="B31" i="3"/>
  <c r="D27" i="3"/>
  <c r="D23" i="3"/>
  <c r="C11" i="1" s="1"/>
  <c r="B19" i="3"/>
  <c r="D19" i="3" s="1"/>
  <c r="C10" i="1" s="1"/>
  <c r="D15" i="3"/>
  <c r="B15" i="3"/>
  <c r="D11" i="3"/>
  <c r="C54" i="2"/>
  <c r="C58" i="2" s="1"/>
  <c r="C49" i="2"/>
  <c r="E49" i="2" s="1"/>
  <c r="B18" i="1"/>
  <c r="G93" i="2"/>
  <c r="D23" i="2"/>
  <c r="B15" i="2"/>
  <c r="D15" i="2" s="1"/>
  <c r="D18" i="1"/>
  <c r="D12" i="1"/>
  <c r="C12" i="1"/>
  <c r="E12" i="1" s="1"/>
  <c r="B11" i="1"/>
  <c r="C8" i="1"/>
  <c r="C14" i="1" l="1"/>
  <c r="D69" i="3"/>
  <c r="B14" i="1"/>
  <c r="E14" i="1" s="1"/>
  <c r="G101" i="2"/>
  <c r="G99" i="2"/>
  <c r="G92" i="2"/>
  <c r="B19" i="2"/>
  <c r="D19" i="2" s="1"/>
  <c r="B8" i="1"/>
  <c r="B16" i="1"/>
  <c r="B40" i="2"/>
  <c r="D40" i="2" s="1"/>
  <c r="E18" i="1"/>
  <c r="D52" i="2"/>
  <c r="E52" i="2" s="1"/>
  <c r="D53" i="2"/>
  <c r="E53" i="2" s="1"/>
  <c r="B58" i="2"/>
  <c r="D58" i="2" s="1"/>
  <c r="C16" i="1"/>
  <c r="B48" i="3"/>
  <c r="D48" i="3" s="1"/>
  <c r="C17" i="1" s="1"/>
  <c r="D16" i="1"/>
  <c r="B44" i="4"/>
  <c r="D44" i="4" s="1"/>
  <c r="D17" i="1" s="1"/>
  <c r="D56" i="4"/>
  <c r="E56" i="4" s="1"/>
  <c r="D55" i="4"/>
  <c r="E55" i="4" s="1"/>
  <c r="E57" i="4" s="1"/>
  <c r="D19" i="1" s="1"/>
  <c r="B61" i="4"/>
  <c r="D61" i="4" s="1"/>
  <c r="D20" i="1" s="1"/>
  <c r="B9" i="1"/>
  <c r="E11" i="1"/>
  <c r="D60" i="3"/>
  <c r="C19" i="1" s="1"/>
  <c r="D66" i="3"/>
  <c r="C20" i="1" s="1"/>
  <c r="D61" i="3"/>
  <c r="E61" i="3" s="1"/>
  <c r="C9" i="1"/>
  <c r="B39" i="3"/>
  <c r="D39" i="3" s="1"/>
  <c r="C15" i="1" s="1"/>
  <c r="B31" i="4"/>
  <c r="D31" i="4" s="1"/>
  <c r="D14" i="1" s="1"/>
  <c r="B35" i="4"/>
  <c r="D35" i="4" s="1"/>
  <c r="D15" i="1" s="1"/>
  <c r="D31" i="2"/>
  <c r="B19" i="4"/>
  <c r="D19" i="4" s="1"/>
  <c r="D10" i="1" s="1"/>
  <c r="D8" i="1"/>
  <c r="E8" i="1" s="1"/>
  <c r="B17" i="1" l="1"/>
  <c r="E17" i="1" s="1"/>
  <c r="G98" i="2"/>
  <c r="B20" i="1"/>
  <c r="E20" i="1" s="1"/>
  <c r="G102" i="2"/>
  <c r="B15" i="1"/>
  <c r="E15" i="1" s="1"/>
  <c r="G94" i="2"/>
  <c r="B10" i="1"/>
  <c r="E10" i="1" s="1"/>
  <c r="G96" i="2"/>
  <c r="E54" i="2"/>
  <c r="D68" i="4"/>
  <c r="E9" i="1"/>
  <c r="D64" i="4"/>
  <c r="D73" i="3"/>
  <c r="E16" i="1"/>
  <c r="B19" i="1" l="1"/>
  <c r="E19" i="1" s="1"/>
  <c r="G100" i="2"/>
  <c r="D22" i="1"/>
  <c r="B22" i="1"/>
  <c r="C82" i="4"/>
  <c r="D23" i="1"/>
  <c r="C81" i="4"/>
  <c r="C74" i="4"/>
  <c r="C73" i="4"/>
  <c r="C75" i="4" s="1"/>
  <c r="D24" i="1" s="1"/>
  <c r="C22" i="1"/>
  <c r="C86" i="3"/>
  <c r="C78" i="3"/>
  <c r="C79" i="3"/>
  <c r="C23" i="1"/>
  <c r="C87" i="3"/>
  <c r="C88" i="3" l="1"/>
  <c r="C26" i="1" s="1"/>
  <c r="E22" i="1"/>
  <c r="C71" i="2"/>
  <c r="H108" i="2" s="1"/>
  <c r="C70" i="2"/>
  <c r="H106" i="2" s="1"/>
  <c r="C79" i="2"/>
  <c r="G104" i="2" s="1"/>
  <c r="H107" i="2" s="1"/>
  <c r="C78" i="2"/>
  <c r="G103" i="2" s="1"/>
  <c r="B23" i="1"/>
  <c r="E23" i="1" s="1"/>
  <c r="D77" i="4"/>
  <c r="D25" i="1" s="1"/>
  <c r="C80" i="3"/>
  <c r="C83" i="4"/>
  <c r="H105" i="2" l="1"/>
  <c r="G112" i="2"/>
  <c r="H113" i="2" s="1"/>
  <c r="D91" i="3"/>
  <c r="C27" i="1" s="1"/>
  <c r="C80" i="2"/>
  <c r="B26" i="1" s="1"/>
  <c r="E26" i="1" s="1"/>
  <c r="C72" i="2"/>
  <c r="B24" i="1" s="1"/>
  <c r="D26" i="1"/>
  <c r="D86" i="4"/>
  <c r="D27" i="1" s="1"/>
  <c r="C24" i="1"/>
  <c r="D82" i="3"/>
  <c r="C25" i="1" s="1"/>
  <c r="E24" i="1" l="1"/>
  <c r="D74" i="2"/>
  <c r="B27" i="1"/>
  <c r="E27" i="1" s="1"/>
  <c r="B25" i="1" l="1"/>
  <c r="E25" i="1" s="1"/>
  <c r="H109" i="2"/>
  <c r="G110" i="2" l="1"/>
  <c r="H111" i="2" l="1"/>
  <c r="I90" i="2" l="1"/>
</calcChain>
</file>

<file path=xl/sharedStrings.xml><?xml version="1.0" encoding="utf-8"?>
<sst xmlns="http://schemas.openxmlformats.org/spreadsheetml/2006/main" count="272" uniqueCount="139">
  <si>
    <t>ACTIVIDAD APLICATIVA N° 07</t>
  </si>
  <si>
    <t>Empresa Mi Alto Perú - Planilla de Remuneraciones - Régimen Construcción Civil</t>
  </si>
  <si>
    <t>Período: 06/04 al 11/04 (6 días) | Curso: Contabilidad Sectorial | Dra. Luz R. Lapa Salinas | Ciclo VI – Noche</t>
  </si>
  <si>
    <t>CUADRO COMPARATIVO</t>
  </si>
  <si>
    <t>Concepto</t>
  </si>
  <si>
    <t>Cruz Alonso
(Operario)</t>
  </si>
  <si>
    <t>Salas Diego
(Oficial)</t>
  </si>
  <si>
    <t>Pérez Gino
(Peón)</t>
  </si>
  <si>
    <t>Totales</t>
  </si>
  <si>
    <t>Jornal semanal</t>
  </si>
  <si>
    <t>DSO</t>
  </si>
  <si>
    <t>BUC</t>
  </si>
  <si>
    <t>Movilidad</t>
  </si>
  <si>
    <t>Bonif. altitud</t>
  </si>
  <si>
    <t>Bonif. altura</t>
  </si>
  <si>
    <t>Indemnización CTS</t>
  </si>
  <si>
    <t>Vacaciones</t>
  </si>
  <si>
    <t>Gratificaciones</t>
  </si>
  <si>
    <t>Bonificación extraord.</t>
  </si>
  <si>
    <t>Asignación escolar</t>
  </si>
  <si>
    <t>Horas extra</t>
  </si>
  <si>
    <t>Indemnización HE</t>
  </si>
  <si>
    <t>TOTAL INGRESOS BRUTOS</t>
  </si>
  <si>
    <t>Base afecta</t>
  </si>
  <si>
    <t>Total descuentos (ONP+CONAFOVICER)</t>
  </si>
  <si>
    <t>SALARIO NETO A PAGAR</t>
  </si>
  <si>
    <t>Total aportes empleador (ESSALUD+SENCICO)</t>
  </si>
  <si>
    <t>COSTO TOTAL EMPRESA</t>
  </si>
  <si>
    <t>Nota metodológica:</t>
  </si>
  <si>
    <t>• Régimen: Construcción Civil (D. Leg. 727 y convenios colectivos vigentes).</t>
  </si>
  <si>
    <t>• Jornales básicos: Operario S/ 89.30 | Oficial S/ 69.75 | Peón S/ 62.80.</t>
  </si>
  <si>
    <t>• BUC: 32% operario / 30% oficial / 30% peón sobre jornal básico × días trabajados.</t>
  </si>
  <si>
    <t>• CTS = 15% del jornal semanal | Vacaciones = 10% del jornal semanal.</t>
  </si>
  <si>
    <t>• Gratificaciones = 40 jornales prorrateados (jornal × 40 / 7 / 30 × 7 días).</t>
  </si>
  <si>
    <t>• Bonificación extraordinaria = 9% de la gratificación (Ley 30334).</t>
  </si>
  <si>
    <t>• Asignación escolar = jornal × 30 / 360 × 7 × N° hijos en edad escolar.</t>
  </si>
  <si>
    <t>• HE: 1ras 2 diarias al 60% de recargo, desde la 3ra al 100%.</t>
  </si>
  <si>
    <t>• Bonif. altitud: S/ 2.50/día (&gt; 3,000 msnm). Bonif. altura: 8% del jornal por cada 4 pisos (desde el 4° piso).</t>
  </si>
  <si>
    <t>• Base afecta: jornal semanal + DSO + BUC + vacaciones + asignación familiar + HE + altitud + altura.</t>
  </si>
  <si>
    <t>• Descuentos: ONP 13% | CONAFOVICER 2%. Aportes empleador: ESSALUD 9% | SENCICO 0.2%.</t>
  </si>
  <si>
    <t>EMPRESA MI ALTO PERÚ - CONSTRUCTORA</t>
  </si>
  <si>
    <t>Planilla de Remuneraciones - Régimen Construcción Civil</t>
  </si>
  <si>
    <t>Trabajador:</t>
  </si>
  <si>
    <t>Cruz Alonso</t>
  </si>
  <si>
    <t>Categoría:</t>
  </si>
  <si>
    <t>Operario</t>
  </si>
  <si>
    <t>Período:</t>
  </si>
  <si>
    <t>06/04 al 11/04 (6 días)</t>
  </si>
  <si>
    <t>Régimen pensionario:</t>
  </si>
  <si>
    <t>ONP</t>
  </si>
  <si>
    <t>1. JORNADA SEMANAL</t>
  </si>
  <si>
    <t>Jornal básico × días trabajados</t>
  </si>
  <si>
    <t>Jornal básico (S/)</t>
  </si>
  <si>
    <t>6 días</t>
  </si>
  <si>
    <t>2. DESCANSO SEMANAL OBLIGATORIO</t>
  </si>
  <si>
    <t>Equivale a 1 jornal diario</t>
  </si>
  <si>
    <t>1 día</t>
  </si>
  <si>
    <t>3. BONIFICACIÓN UNIFICADA DE CONSTRUCCIÓN (BUC)</t>
  </si>
  <si>
    <t>Operario: 32% del jornal diario por día trabajado</t>
  </si>
  <si>
    <t>4. MOVILIDAD</t>
  </si>
  <si>
    <t>S/ 8.60 por día trabajado</t>
  </si>
  <si>
    <t>7. INDEMNIZACIÓN CTS</t>
  </si>
  <si>
    <t>15% del jornal semanal</t>
  </si>
  <si>
    <t>ESTO NO ESTA EN LA TEORIA, PERO APARECE EN TODOS</t>
  </si>
  <si>
    <t>8. VACACIONES</t>
  </si>
  <si>
    <t>10% del jornal semanal</t>
  </si>
  <si>
    <t>9. GRATIFICACIONES</t>
  </si>
  <si>
    <t>40 jornales anuales prorrateados (jornal × 40 / 7 / 30)</t>
  </si>
  <si>
    <t>Cálculo base (por día):</t>
  </si>
  <si>
    <t>Aplicado a la semana (× 7 días):</t>
  </si>
  <si>
    <t>10. BONIFICACIÓN EXTRAORDINARIA</t>
  </si>
  <si>
    <t>9% de la gratificación (Ley 30334)</t>
  </si>
  <si>
    <t>11. ASIGNACIÓN ESCOLAR (Escolaridad)</t>
  </si>
  <si>
    <t>30 jornales × jornal diario / 360 días × 7 días × N° hijos en edad escolar</t>
  </si>
  <si>
    <t>Por hijo</t>
  </si>
  <si>
    <t>12. HORAS EXTRA</t>
  </si>
  <si>
    <t>En función al jornal diario (3d × 3h)</t>
  </si>
  <si>
    <t>Valor hora ordinaria:</t>
  </si>
  <si>
    <t>HE</t>
  </si>
  <si>
    <t>Valor hora</t>
  </si>
  <si>
    <t>Total</t>
  </si>
  <si>
    <t>60% (1ras 2 HE diarias)</t>
  </si>
  <si>
    <t>100% (3ra HE en adelante)</t>
  </si>
  <si>
    <t>Total HE</t>
  </si>
  <si>
    <t>13. INDEMNIZACIÓN HORAS EXTRA</t>
  </si>
  <si>
    <t>Valor de una hora ordinaria × N° de HE</t>
  </si>
  <si>
    <t>BASE AFECTA (para aportes y descuentos)</t>
  </si>
  <si>
    <t>Incluye: Jornal semanal + DSO + BUC + Vacaciones + Asig. familiar + HE + Altitud + Altura</t>
  </si>
  <si>
    <t>No se considera: Indemnizaciones, Gratificaciones, Bonif. extraordinaria, Movilidad</t>
  </si>
  <si>
    <t>DESCUENTOS AL TRABAJADOR</t>
  </si>
  <si>
    <t>CONAFOVICER</t>
  </si>
  <si>
    <t>Total descuentos</t>
  </si>
  <si>
    <t>TOTAL SALARIO NETO A PAGAR</t>
  </si>
  <si>
    <t>APORTES DEL EMPLEADOR</t>
  </si>
  <si>
    <t>ESSALUD</t>
  </si>
  <si>
    <t>SENCICO</t>
  </si>
  <si>
    <t>Total aportes empleador</t>
  </si>
  <si>
    <t>COSTO TOTAL PARA LA EMPRESA</t>
  </si>
  <si>
    <t>Notas:</t>
  </si>
  <si>
    <t>• 9 HE totales: 6 al 60% (1ras 2 de cada día × 3 días) + 3 al 100% (3era HE de cada día × 3 días).</t>
  </si>
  <si>
    <t>• Asignación escolar por 2 hijos en edad escolar.</t>
  </si>
  <si>
    <t>CTA</t>
  </si>
  <si>
    <t>Descrip. Cta</t>
  </si>
  <si>
    <t>DEBE</t>
  </si>
  <si>
    <t>HABER</t>
  </si>
  <si>
    <t>Planilla de remuneraciones</t>
  </si>
  <si>
    <t>Jornal básico</t>
  </si>
  <si>
    <t>Descanso S. Obli.</t>
  </si>
  <si>
    <t>Boni. Extraor.</t>
  </si>
  <si>
    <t>Escolaridad</t>
  </si>
  <si>
    <t>Horas Extra</t>
  </si>
  <si>
    <t>EsSalud</t>
  </si>
  <si>
    <t>CENCICO</t>
  </si>
  <si>
    <t>Neto</t>
  </si>
  <si>
    <t>Pago de planilla</t>
  </si>
  <si>
    <t>Destino del gasto</t>
  </si>
  <si>
    <t>Salas Diego</t>
  </si>
  <si>
    <t>Oficial</t>
  </si>
  <si>
    <t>Oficial: 30% del jornal diario por día trabajado</t>
  </si>
  <si>
    <t>5. BONIFICACIÓN POR ALTITUD</t>
  </si>
  <si>
    <t>S/ 2.50 por día trabajado (obra &gt; 3,000 msnm)</t>
  </si>
  <si>
    <t>si se multiplica por dias</t>
  </si>
  <si>
    <t>6. BONIFICACIÓN POR ALTURA</t>
  </si>
  <si>
    <t>8% sobre jornal básico por cada 4 pisos (a partir del 4°). Obra de 7 pisos → 8%</t>
  </si>
  <si>
    <t>La profe dice que no se multiplica por dias laborados</t>
  </si>
  <si>
    <t>PREGUNTAR SI, CUANDO HAY MAS DE 8 PISOS, ME DEBERAN PAGAR 16% O SOLO SE MANTIENE EL 8%</t>
  </si>
  <si>
    <t>11. ASIGNACIÓN ESCOLAR</t>
  </si>
  <si>
    <t>En función al jornal diario (2d × 5h)</t>
  </si>
  <si>
    <t>• 10 HE totales: 4 al 60% (1ras 2 de cada día × 2 días) + 6 al 100% (3era a 5ta HE × 2 días).</t>
  </si>
  <si>
    <t>• Bonif. altitud: obra a 4,500 msnm (&gt; 3,000 msnm) → S/ 2.50 × 6 días.</t>
  </si>
  <si>
    <t>• Bonif. altura: obra de 7 pisos → 1 bloque de 4 pisos a partir del 4° → 8% sobre jornal × 6 días.</t>
  </si>
  <si>
    <t>• Asignación escolar: solo se considera el hijo en edad escolar. El bebé de 3 meses no genera asignación escolar (régimen de construcción civil reconoce solo hijos cursando educación inicial / primaria / secundaria, hasta 18 años).</t>
  </si>
  <si>
    <t>Pérez Gino</t>
  </si>
  <si>
    <t>Peón</t>
  </si>
  <si>
    <t>Peón: 30% del jornal diario por día trabajado</t>
  </si>
  <si>
    <t>No aplica (sin hijos en edad escolar)</t>
  </si>
  <si>
    <t>En función al jornal diario (2d × 1h)</t>
  </si>
  <si>
    <t>• 2 HE totales: 2 al 60% (1 HE por día × 2 días, todas dentro de las primeras 2 diarias) + 0 al 100%.</t>
  </si>
  <si>
    <t>• Sin hijos declarados → no aplica asignación escolar.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</si>
</sst>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>
    <font>
      <sz val="11"/>
      <color theme="1"/>
      <name val="Calibri"/>
      <family val="2"/>
      <charset val="1"/>
    </font>
    <font>
      <b/>
      <sz val="14"/>
      <name val="Calibri"/>
      <charset val="1"/>
    </font>
    <font>
      <i/>
      <sz val="11"/>
      <name val="Calibri"/>
      <charset val="1"/>
    </font>
    <font>
      <i/>
      <sz val="10"/>
      <name val="Calibri"/>
      <charset val="1"/>
    </font>
    <font>
      <b/>
      <sz val="12"/>
      <name val="Calibri"/>
      <charset val="1"/>
    </font>
    <font>
      <b/>
      <sz val="11"/>
      <name val="Calibri"/>
      <charset val="1"/>
    </font>
    <font>
      <sz val="11"/>
      <name val="Calibri"/>
      <charset val="1"/>
    </font>
    <font>
      <sz val="10"/>
      <name val="Calibri"/>
      <charset val="1"/>
    </font>
    <font>
      <b/>
      <sz val="11"/>
      <color rgb="FF002060"/>
      <name val="Calibri"/>
      <family val="2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DEBF7"/>
      </patternFill>
    </fill>
    <fill>
      <patternFill patternType="solid">
        <fgColor rgb="FFC6EFCE"/>
        <bgColor rgb="FFDDEBF7"/>
      </patternFill>
    </fill>
    <fill>
      <patternFill patternType="solid">
        <fgColor rgb="FFDDEBF7"/>
        <bgColor rgb="FFD9D9D9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0" borderId="0" xfId="0" applyFont="1"/>
    <xf numFmtId="0" fontId="4" fillId="2" borderId="0" xfId="0" applyFont="1" applyFill="1"/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4" fontId="0" fillId="0" borderId="1" xfId="0" applyNumberFormat="1" applyBorder="1"/>
    <xf numFmtId="4" fontId="5" fillId="0" borderId="1" xfId="0" applyNumberFormat="1" applyFont="1" applyBorder="1"/>
    <xf numFmtId="0" fontId="5" fillId="4" borderId="1" xfId="0" applyFont="1" applyFill="1" applyBorder="1"/>
    <xf numFmtId="4" fontId="5" fillId="4" borderId="1" xfId="0" applyNumberFormat="1" applyFont="1" applyFill="1" applyBorder="1"/>
    <xf numFmtId="0" fontId="5" fillId="5" borderId="1" xfId="0" applyFont="1" applyFill="1" applyBorder="1"/>
    <xf numFmtId="4" fontId="5" fillId="5" borderId="1" xfId="0" applyNumberFormat="1" applyFont="1" applyFill="1" applyBorder="1"/>
    <xf numFmtId="0" fontId="5" fillId="3" borderId="1" xfId="0" applyFont="1" applyFill="1" applyBorder="1"/>
    <xf numFmtId="4" fontId="5" fillId="3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5" fillId="2" borderId="0" xfId="0" applyFont="1" applyFill="1"/>
    <xf numFmtId="0" fontId="6" fillId="0" borderId="0" xfId="0" applyFont="1"/>
    <xf numFmtId="4" fontId="0" fillId="0" borderId="0" xfId="0" applyNumberFormat="1"/>
    <xf numFmtId="4" fontId="5" fillId="0" borderId="0" xfId="0" applyNumberFormat="1" applyFont="1"/>
    <xf numFmtId="9" fontId="0" fillId="0" borderId="0" xfId="0" applyNumberFormat="1"/>
    <xf numFmtId="0" fontId="4" fillId="4" borderId="0" xfId="0" applyFont="1" applyFill="1"/>
    <xf numFmtId="4" fontId="4" fillId="4" borderId="0" xfId="0" applyNumberFormat="1" applyFont="1" applyFill="1"/>
    <xf numFmtId="0" fontId="5" fillId="5" borderId="0" xfId="0" applyFont="1" applyFill="1"/>
    <xf numFmtId="4" fontId="5" fillId="5" borderId="0" xfId="0" applyNumberFormat="1" applyFont="1" applyFill="1"/>
    <xf numFmtId="0" fontId="5" fillId="3" borderId="0" xfId="0" applyFont="1" applyFill="1"/>
    <xf numFmtId="164" fontId="0" fillId="0" borderId="0" xfId="0" applyNumberFormat="1"/>
    <xf numFmtId="0" fontId="4" fillId="5" borderId="0" xfId="0" applyFont="1" applyFill="1"/>
    <xf numFmtId="4" fontId="4" fillId="5" borderId="0" xfId="0" applyNumberFormat="1" applyFont="1" applyFill="1"/>
    <xf numFmtId="0" fontId="2" fillId="0" borderId="0" xfId="0" applyFont="1"/>
    <xf numFmtId="4" fontId="8" fillId="6" borderId="0" xfId="0" applyNumberFormat="1" applyFont="1" applyFill="1"/>
    <xf numFmtId="0" fontId="0" fillId="0" borderId="0" xfId="0" applyAlignment="1">
      <alignment horizontal="center" vertical="center"/>
    </xf>
    <xf numFmtId="0" fontId="9" fillId="2" borderId="0" xfId="0" applyFont="1" applyFill="1"/>
    <xf numFmtId="0" fontId="0" fillId="7" borderId="0" xfId="0" applyFill="1"/>
    <xf numFmtId="4" fontId="0" fillId="7" borderId="0" xfId="0" applyNumberFormat="1" applyFill="1"/>
    <xf numFmtId="0" fontId="0" fillId="8" borderId="0" xfId="0" applyFill="1"/>
    <xf numFmtId="4" fontId="0" fillId="8" borderId="0" xfId="0" applyNumberFormat="1" applyFill="1"/>
    <xf numFmtId="0" fontId="0" fillId="9" borderId="0" xfId="0" applyFill="1"/>
    <xf numFmtId="4" fontId="0" fillId="9" borderId="0" xfId="0" applyNumberFormat="1" applyFill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7" fillId="0" borderId="0" xfId="0" applyFont="1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showGridLines="0" topLeftCell="A15" zoomScale="138" zoomScaleNormal="100" workbookViewId="0">
      <selection activeCell="A31" sqref="A31:E31"/>
    </sheetView>
  </sheetViews>
  <sheetFormatPr defaultColWidth="8.7109375" defaultRowHeight="14.25"/>
  <cols>
    <col min="1" max="1" width="38" customWidth="1"/>
    <col min="2" max="5" width="16" customWidth="1"/>
  </cols>
  <sheetData>
    <row r="1" spans="1:5" ht="18">
      <c r="A1" s="38" t="s">
        <v>0</v>
      </c>
      <c r="B1" s="38"/>
      <c r="C1" s="38"/>
      <c r="D1" s="38"/>
      <c r="E1" s="38"/>
    </row>
    <row r="2" spans="1:5">
      <c r="A2" s="39" t="s">
        <v>1</v>
      </c>
      <c r="B2" s="39"/>
      <c r="C2" s="39"/>
      <c r="D2" s="39"/>
      <c r="E2" s="39"/>
    </row>
    <row r="3" spans="1:5">
      <c r="A3" s="40" t="s">
        <v>2</v>
      </c>
      <c r="B3" s="40"/>
      <c r="C3" s="40"/>
      <c r="D3" s="40"/>
      <c r="E3" s="40"/>
    </row>
    <row r="5" spans="1:5" ht="15.75">
      <c r="A5" s="2" t="s">
        <v>3</v>
      </c>
    </row>
    <row r="7" spans="1:5" ht="30" customHeight="1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</row>
    <row r="8" spans="1:5">
      <c r="A8" s="4" t="s">
        <v>9</v>
      </c>
      <c r="B8" s="5">
        <f>'T1 - Cruz Alonso'!D11</f>
        <v>535.79999999999995</v>
      </c>
      <c r="C8" s="5">
        <f>'T2 - Salas Diego'!D11</f>
        <v>418.5</v>
      </c>
      <c r="D8" s="5">
        <f>'T3 - Pérez Gino'!D11</f>
        <v>376.79999999999995</v>
      </c>
      <c r="E8" s="6">
        <f t="shared" ref="E8:E20" si="0">SUM(B8:D8)</f>
        <v>1331.1</v>
      </c>
    </row>
    <row r="9" spans="1:5">
      <c r="A9" s="4" t="s">
        <v>10</v>
      </c>
      <c r="B9" s="5">
        <f>'T1 - Cruz Alonso'!D15</f>
        <v>89.3</v>
      </c>
      <c r="C9" s="5">
        <f>'T2 - Salas Diego'!D15</f>
        <v>69.75</v>
      </c>
      <c r="D9" s="5">
        <f>'T3 - Pérez Gino'!D15</f>
        <v>62.8</v>
      </c>
      <c r="E9" s="6">
        <f t="shared" si="0"/>
        <v>221.85000000000002</v>
      </c>
    </row>
    <row r="10" spans="1:5">
      <c r="A10" s="4" t="s">
        <v>11</v>
      </c>
      <c r="B10" s="5">
        <f>'T1 - Cruz Alonso'!D19</f>
        <v>171.45599999999999</v>
      </c>
      <c r="C10" s="5">
        <f>'T2 - Salas Diego'!D19</f>
        <v>125.55</v>
      </c>
      <c r="D10" s="5">
        <f>'T3 - Pérez Gino'!D19</f>
        <v>113.03999999999998</v>
      </c>
      <c r="E10" s="6">
        <f t="shared" si="0"/>
        <v>410.04599999999994</v>
      </c>
    </row>
    <row r="11" spans="1:5">
      <c r="A11" s="4" t="s">
        <v>12</v>
      </c>
      <c r="B11" s="5">
        <f>'T1 - Cruz Alonso'!D23</f>
        <v>51.599999999999994</v>
      </c>
      <c r="C11" s="5">
        <f>'T2 - Salas Diego'!D23</f>
        <v>51.599999999999994</v>
      </c>
      <c r="D11" s="5">
        <f>'T3 - Pérez Gino'!D23</f>
        <v>51.599999999999994</v>
      </c>
      <c r="E11" s="6">
        <f t="shared" si="0"/>
        <v>154.79999999999998</v>
      </c>
    </row>
    <row r="12" spans="1:5">
      <c r="A12" s="4" t="s">
        <v>13</v>
      </c>
      <c r="B12" s="5">
        <v>0</v>
      </c>
      <c r="C12" s="5">
        <f>'T2 - Salas Diego'!D27</f>
        <v>15</v>
      </c>
      <c r="D12" s="5">
        <f>'T3 - Pérez Gino'!D27</f>
        <v>15</v>
      </c>
      <c r="E12" s="6">
        <f t="shared" si="0"/>
        <v>30</v>
      </c>
    </row>
    <row r="13" spans="1:5">
      <c r="A13" s="4" t="s">
        <v>14</v>
      </c>
      <c r="B13" s="5">
        <v>0</v>
      </c>
      <c r="C13" s="5">
        <f>'T2 - Salas Diego'!F31</f>
        <v>33.480000000000004</v>
      </c>
      <c r="D13" s="5">
        <v>0</v>
      </c>
      <c r="E13" s="6">
        <f t="shared" si="0"/>
        <v>33.480000000000004</v>
      </c>
    </row>
    <row r="14" spans="1:5">
      <c r="A14" s="4" t="s">
        <v>15</v>
      </c>
      <c r="B14" s="5">
        <f>'T1 - Cruz Alonso'!D27</f>
        <v>80.36999999999999</v>
      </c>
      <c r="C14" s="5">
        <f>'T2 - Salas Diego'!D35</f>
        <v>62.774999999999999</v>
      </c>
      <c r="D14" s="5">
        <f>'T3 - Pérez Gino'!D31</f>
        <v>56.519999999999989</v>
      </c>
      <c r="E14" s="6">
        <f t="shared" si="0"/>
        <v>199.66499999999996</v>
      </c>
    </row>
    <row r="15" spans="1:5">
      <c r="A15" s="4" t="s">
        <v>16</v>
      </c>
      <c r="B15" s="5">
        <f>'T1 - Cruz Alonso'!D31</f>
        <v>53.58</v>
      </c>
      <c r="C15" s="5">
        <f>'T2 - Salas Diego'!D39</f>
        <v>41.85</v>
      </c>
      <c r="D15" s="5">
        <f>'T3 - Pérez Gino'!D35</f>
        <v>37.68</v>
      </c>
      <c r="E15" s="6">
        <f t="shared" si="0"/>
        <v>133.11000000000001</v>
      </c>
    </row>
    <row r="16" spans="1:5">
      <c r="A16" s="4" t="s">
        <v>17</v>
      </c>
      <c r="B16" s="5">
        <f>'T1 - Cruz Alonso'!E36</f>
        <v>119.06666666666666</v>
      </c>
      <c r="C16" s="5">
        <f>'T2 - Salas Diego'!E44</f>
        <v>93</v>
      </c>
      <c r="D16" s="5">
        <f>'T3 - Pérez Gino'!E40</f>
        <v>83.73333333333332</v>
      </c>
      <c r="E16" s="6">
        <f t="shared" si="0"/>
        <v>295.79999999999995</v>
      </c>
    </row>
    <row r="17" spans="1:5">
      <c r="A17" s="4" t="s">
        <v>18</v>
      </c>
      <c r="B17" s="5">
        <f>'T1 - Cruz Alonso'!D40</f>
        <v>10.715999999999999</v>
      </c>
      <c r="C17" s="5">
        <f>'T2 - Salas Diego'!D48</f>
        <v>8.3699999999999992</v>
      </c>
      <c r="D17" s="5">
        <f>'T3 - Pérez Gino'!D44</f>
        <v>7.5359999999999987</v>
      </c>
      <c r="E17" s="6">
        <f t="shared" si="0"/>
        <v>26.621999999999996</v>
      </c>
    </row>
    <row r="18" spans="1:5">
      <c r="A18" s="4" t="s">
        <v>19</v>
      </c>
      <c r="B18" s="5">
        <f>'T1 - Cruz Alonso'!F45</f>
        <v>104.18333333333334</v>
      </c>
      <c r="C18" s="5">
        <f>'T2 - Salas Diego'!F53</f>
        <v>40.6875</v>
      </c>
      <c r="D18" s="5">
        <f>'T3 - Pérez Gino'!F48</f>
        <v>0</v>
      </c>
      <c r="E18" s="6">
        <f t="shared" si="0"/>
        <v>144.87083333333334</v>
      </c>
    </row>
    <row r="19" spans="1:5">
      <c r="A19" s="4" t="s">
        <v>20</v>
      </c>
      <c r="B19" s="5">
        <f>'T1 - Cruz Alonso'!E54</f>
        <v>174.13499999999999</v>
      </c>
      <c r="C19" s="5">
        <f>'T2 - Salas Diego'!E62</f>
        <v>160.42500000000001</v>
      </c>
      <c r="D19" s="5">
        <f>'T3 - Pérez Gino'!E57</f>
        <v>25.12</v>
      </c>
      <c r="E19" s="6">
        <f t="shared" si="0"/>
        <v>359.68</v>
      </c>
    </row>
    <row r="20" spans="1:5">
      <c r="A20" s="4" t="s">
        <v>21</v>
      </c>
      <c r="B20" s="5">
        <f>'T1 - Cruz Alonso'!D58</f>
        <v>100.44</v>
      </c>
      <c r="C20" s="5">
        <f>'T2 - Salas Diego'!D66</f>
        <v>87.2</v>
      </c>
      <c r="D20" s="5">
        <f>'T3 - Pérez Gino'!D61</f>
        <v>15.7</v>
      </c>
      <c r="E20" s="6">
        <f t="shared" si="0"/>
        <v>203.33999999999997</v>
      </c>
    </row>
    <row r="22" spans="1:5">
      <c r="A22" s="7" t="s">
        <v>22</v>
      </c>
      <c r="B22" s="8">
        <f>'T1 - Cruz Alonso'!D61</f>
        <v>1490.6469999999999</v>
      </c>
      <c r="C22" s="8">
        <f>'T2 - Salas Diego'!D69</f>
        <v>1180.2875000000001</v>
      </c>
      <c r="D22" s="8">
        <f>'T3 - Pérez Gino'!D64</f>
        <v>845.52933333333328</v>
      </c>
      <c r="E22" s="8">
        <f t="shared" ref="E22:E27" si="1">SUM(B22:D22)</f>
        <v>3516.4638333333337</v>
      </c>
    </row>
    <row r="23" spans="1:5">
      <c r="A23" s="9" t="s">
        <v>23</v>
      </c>
      <c r="B23" s="10">
        <f>'T1 - Cruz Alonso'!D65</f>
        <v>1128.4543333333334</v>
      </c>
      <c r="C23" s="10">
        <f>'T2 - Salas Diego'!D73</f>
        <v>905.24250000000006</v>
      </c>
      <c r="D23" s="10">
        <f>'T3 - Pérez Gino'!D68</f>
        <v>630.43999999999994</v>
      </c>
      <c r="E23" s="10">
        <f t="shared" si="1"/>
        <v>2664.1368333333335</v>
      </c>
    </row>
    <row r="24" spans="1:5">
      <c r="A24" s="11" t="s">
        <v>24</v>
      </c>
      <c r="B24" s="12">
        <f>'T1 - Cruz Alonso'!C72</f>
        <v>169.26814999999999</v>
      </c>
      <c r="C24" s="12">
        <f>'T2 - Salas Diego'!C80</f>
        <v>135.78637500000002</v>
      </c>
      <c r="D24" s="12">
        <f>'T3 - Pérez Gino'!C75</f>
        <v>94.566000000000003</v>
      </c>
      <c r="E24" s="12">
        <f t="shared" si="1"/>
        <v>399.62052500000004</v>
      </c>
    </row>
    <row r="25" spans="1:5">
      <c r="A25" s="7" t="s">
        <v>25</v>
      </c>
      <c r="B25" s="8">
        <f>'T1 - Cruz Alonso'!D74</f>
        <v>1321.3788500000001</v>
      </c>
      <c r="C25" s="8">
        <f>'T2 - Salas Diego'!D82</f>
        <v>1044.5011250000002</v>
      </c>
      <c r="D25" s="8">
        <f>'T3 - Pérez Gino'!D77</f>
        <v>750.96333333333325</v>
      </c>
      <c r="E25" s="8">
        <f t="shared" si="1"/>
        <v>3116.8433083333334</v>
      </c>
    </row>
    <row r="26" spans="1:5">
      <c r="A26" s="11" t="s">
        <v>26</v>
      </c>
      <c r="B26" s="12">
        <f>'T1 - Cruz Alonso'!C80</f>
        <v>103.81779866666666</v>
      </c>
      <c r="C26" s="12">
        <f>'T2 - Salas Diego'!C88</f>
        <v>83.28231000000001</v>
      </c>
      <c r="D26" s="12">
        <f>'T3 - Pérez Gino'!C83</f>
        <v>58.000479999999996</v>
      </c>
      <c r="E26" s="12">
        <f t="shared" si="1"/>
        <v>245.10058866666668</v>
      </c>
    </row>
    <row r="27" spans="1:5">
      <c r="A27" s="9" t="s">
        <v>27</v>
      </c>
      <c r="B27" s="10">
        <f>'T1 - Cruz Alonso'!D83</f>
        <v>1594.4647986666666</v>
      </c>
      <c r="C27" s="10">
        <f>'T2 - Salas Diego'!D91</f>
        <v>1263.5698100000002</v>
      </c>
      <c r="D27" s="10">
        <f>'T3 - Pérez Gino'!D86</f>
        <v>903.52981333333332</v>
      </c>
      <c r="E27" s="10">
        <f t="shared" si="1"/>
        <v>3761.5644220000004</v>
      </c>
    </row>
    <row r="30" spans="1:5">
      <c r="A30" s="13" t="s">
        <v>28</v>
      </c>
    </row>
    <row r="31" spans="1:5">
      <c r="A31" s="42" t="s">
        <v>29</v>
      </c>
      <c r="B31" s="42"/>
      <c r="C31" s="42"/>
      <c r="D31" s="42"/>
      <c r="E31" s="42"/>
    </row>
    <row r="32" spans="1:5">
      <c r="A32" s="42" t="s">
        <v>30</v>
      </c>
      <c r="B32" s="42"/>
      <c r="C32" s="42"/>
      <c r="D32" s="42"/>
      <c r="E32" s="42"/>
    </row>
    <row r="33" spans="1:5">
      <c r="A33" s="42" t="s">
        <v>31</v>
      </c>
      <c r="B33" s="42"/>
      <c r="C33" s="42"/>
      <c r="D33" s="42"/>
      <c r="E33" s="42"/>
    </row>
    <row r="34" spans="1:5">
      <c r="A34" s="42" t="s">
        <v>32</v>
      </c>
      <c r="B34" s="42"/>
      <c r="C34" s="42"/>
      <c r="D34" s="42"/>
      <c r="E34" s="42"/>
    </row>
    <row r="35" spans="1:5">
      <c r="A35" s="42" t="s">
        <v>33</v>
      </c>
      <c r="B35" s="42"/>
      <c r="C35" s="42"/>
      <c r="D35" s="42"/>
      <c r="E35" s="42"/>
    </row>
    <row r="36" spans="1:5">
      <c r="A36" s="42" t="s">
        <v>34</v>
      </c>
      <c r="B36" s="42"/>
      <c r="C36" s="42"/>
      <c r="D36" s="42"/>
      <c r="E36" s="42"/>
    </row>
    <row r="37" spans="1:5">
      <c r="A37" s="42" t="s">
        <v>35</v>
      </c>
      <c r="B37" s="42"/>
      <c r="C37" s="42"/>
      <c r="D37" s="42"/>
      <c r="E37" s="42"/>
    </row>
    <row r="38" spans="1:5">
      <c r="A38" s="42" t="s">
        <v>36</v>
      </c>
      <c r="B38" s="42"/>
      <c r="C38" s="42"/>
      <c r="D38" s="42"/>
      <c r="E38" s="42"/>
    </row>
    <row r="39" spans="1:5">
      <c r="A39" s="42" t="s">
        <v>37</v>
      </c>
      <c r="B39" s="42"/>
      <c r="C39" s="42"/>
      <c r="D39" s="42"/>
      <c r="E39" s="42"/>
    </row>
    <row r="40" spans="1:5">
      <c r="A40" s="42" t="s">
        <v>38</v>
      </c>
      <c r="B40" s="42"/>
      <c r="C40" s="42"/>
      <c r="D40" s="42"/>
      <c r="E40" s="42"/>
    </row>
    <row r="41" spans="1:5">
      <c r="A41" s="42" t="s">
        <v>39</v>
      </c>
      <c r="B41" s="42"/>
      <c r="C41" s="42"/>
      <c r="D41" s="42"/>
      <c r="E41" s="42"/>
    </row>
  </sheetData>
  <mergeCells count="14">
    <mergeCell ref="A1:E1"/>
    <mergeCell ref="A2:E2"/>
    <mergeCell ref="A3:E3"/>
    <mergeCell ref="A31:E31"/>
    <mergeCell ref="A32:E32"/>
    <mergeCell ref="A38:E38"/>
    <mergeCell ref="A39:E39"/>
    <mergeCell ref="A40:E40"/>
    <mergeCell ref="A41:E41"/>
    <mergeCell ref="A33:E33"/>
    <mergeCell ref="A34:E34"/>
    <mergeCell ref="A35:E35"/>
    <mergeCell ref="A36:E36"/>
    <mergeCell ref="A37:E3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3"/>
  <sheetViews>
    <sheetView showGridLines="0" topLeftCell="A82" zoomScale="120" zoomScaleNormal="100" workbookViewId="0">
      <selection activeCell="F82" sqref="F82"/>
    </sheetView>
  </sheetViews>
  <sheetFormatPr defaultColWidth="8.7109375" defaultRowHeight="14.25"/>
  <cols>
    <col min="1" max="1" width="32" customWidth="1"/>
    <col min="2" max="3" width="12" customWidth="1"/>
    <col min="4" max="5" width="13" customWidth="1"/>
    <col min="6" max="6" width="36.5703125" bestFit="1" customWidth="1"/>
    <col min="7" max="7" width="14" customWidth="1"/>
    <col min="8" max="9" width="13" customWidth="1"/>
  </cols>
  <sheetData>
    <row r="1" spans="1:7" ht="18">
      <c r="A1" s="38" t="s">
        <v>40</v>
      </c>
      <c r="B1" s="38"/>
      <c r="C1" s="38"/>
      <c r="D1" s="38"/>
      <c r="E1" s="38"/>
      <c r="F1" s="38"/>
      <c r="G1" s="38"/>
    </row>
    <row r="2" spans="1:7">
      <c r="A2" s="39" t="s">
        <v>41</v>
      </c>
      <c r="B2" s="39"/>
      <c r="C2" s="39"/>
      <c r="D2" s="39"/>
      <c r="E2" s="39"/>
      <c r="F2" s="39"/>
      <c r="G2" s="39"/>
    </row>
    <row r="4" spans="1:7" ht="15.75">
      <c r="A4" s="13" t="s">
        <v>42</v>
      </c>
      <c r="B4" s="14" t="s">
        <v>43</v>
      </c>
    </row>
    <row r="5" spans="1:7">
      <c r="A5" s="13" t="s">
        <v>44</v>
      </c>
      <c r="B5" t="s">
        <v>45</v>
      </c>
    </row>
    <row r="6" spans="1:7">
      <c r="A6" s="13" t="s">
        <v>46</v>
      </c>
      <c r="B6" t="s">
        <v>47</v>
      </c>
    </row>
    <row r="7" spans="1:7">
      <c r="A7" s="13" t="s">
        <v>48</v>
      </c>
      <c r="B7" t="s">
        <v>49</v>
      </c>
    </row>
    <row r="9" spans="1:7">
      <c r="A9" s="15" t="s">
        <v>50</v>
      </c>
    </row>
    <row r="10" spans="1:7">
      <c r="A10" s="16" t="s">
        <v>51</v>
      </c>
    </row>
    <row r="11" spans="1:7">
      <c r="A11" t="s">
        <v>52</v>
      </c>
      <c r="B11" s="17">
        <v>89.3</v>
      </c>
      <c r="C11" t="s">
        <v>53</v>
      </c>
      <c r="D11" s="29">
        <f>B11*6</f>
        <v>535.79999999999995</v>
      </c>
    </row>
    <row r="13" spans="1:7">
      <c r="A13" s="15" t="s">
        <v>54</v>
      </c>
    </row>
    <row r="14" spans="1:7">
      <c r="A14" t="s">
        <v>55</v>
      </c>
    </row>
    <row r="15" spans="1:7">
      <c r="B15" s="17">
        <f>B11</f>
        <v>89.3</v>
      </c>
      <c r="C15" t="s">
        <v>56</v>
      </c>
      <c r="D15" s="29">
        <f>B15</f>
        <v>89.3</v>
      </c>
    </row>
    <row r="17" spans="1:6">
      <c r="A17" s="15" t="s">
        <v>57</v>
      </c>
    </row>
    <row r="18" spans="1:6">
      <c r="A18" t="s">
        <v>58</v>
      </c>
    </row>
    <row r="19" spans="1:6">
      <c r="B19" s="17">
        <f>D11</f>
        <v>535.79999999999995</v>
      </c>
      <c r="C19" s="19">
        <v>0.32</v>
      </c>
      <c r="D19" s="29">
        <f>B19*C19</f>
        <v>171.45599999999999</v>
      </c>
    </row>
    <row r="21" spans="1:6">
      <c r="A21" s="15" t="s">
        <v>59</v>
      </c>
    </row>
    <row r="22" spans="1:6">
      <c r="A22" t="s">
        <v>60</v>
      </c>
    </row>
    <row r="23" spans="1:6">
      <c r="B23" s="17">
        <v>8.6</v>
      </c>
      <c r="C23" t="s">
        <v>53</v>
      </c>
      <c r="D23" s="29">
        <f>B23*6</f>
        <v>51.599999999999994</v>
      </c>
    </row>
    <row r="25" spans="1:6">
      <c r="A25" s="15" t="s">
        <v>61</v>
      </c>
    </row>
    <row r="26" spans="1:6" ht="30.75">
      <c r="A26" t="s">
        <v>62</v>
      </c>
      <c r="F26" s="41" t="s">
        <v>63</v>
      </c>
    </row>
    <row r="27" spans="1:6">
      <c r="B27" s="17">
        <f>D11</f>
        <v>535.79999999999995</v>
      </c>
      <c r="C27" s="19">
        <v>0.15</v>
      </c>
      <c r="D27" s="29">
        <f>B27*C27</f>
        <v>80.36999999999999</v>
      </c>
    </row>
    <row r="29" spans="1:6">
      <c r="A29" s="15" t="s">
        <v>64</v>
      </c>
    </row>
    <row r="30" spans="1:6">
      <c r="A30" t="s">
        <v>65</v>
      </c>
    </row>
    <row r="31" spans="1:6">
      <c r="B31" s="17">
        <f>D11</f>
        <v>535.79999999999995</v>
      </c>
      <c r="C31" s="19">
        <v>0.1</v>
      </c>
      <c r="D31" s="29">
        <f>B31*C31</f>
        <v>53.58</v>
      </c>
    </row>
    <row r="33" spans="1:7">
      <c r="A33" s="15" t="s">
        <v>66</v>
      </c>
    </row>
    <row r="34" spans="1:7">
      <c r="A34" t="s">
        <v>67</v>
      </c>
    </row>
    <row r="35" spans="1:7">
      <c r="A35" t="s">
        <v>68</v>
      </c>
      <c r="B35" s="17">
        <f>B11</f>
        <v>89.3</v>
      </c>
      <c r="C35" s="17">
        <v>40</v>
      </c>
      <c r="D35" s="17">
        <f>B35*C35</f>
        <v>3572</v>
      </c>
      <c r="E35" s="17">
        <v>7</v>
      </c>
      <c r="F35" s="17">
        <v>30</v>
      </c>
      <c r="G35" s="17">
        <f>D35/E35/F35</f>
        <v>17.009523809523809</v>
      </c>
    </row>
    <row r="36" spans="1:7">
      <c r="A36" t="s">
        <v>69</v>
      </c>
      <c r="C36" s="17">
        <f>G35</f>
        <v>17.009523809523809</v>
      </c>
      <c r="D36" s="17">
        <v>7</v>
      </c>
      <c r="E36" s="29">
        <f>C36*D36</f>
        <v>119.06666666666666</v>
      </c>
    </row>
    <row r="38" spans="1:7">
      <c r="A38" s="15" t="s">
        <v>70</v>
      </c>
    </row>
    <row r="39" spans="1:7" ht="30.75">
      <c r="A39" t="s">
        <v>71</v>
      </c>
      <c r="F39" s="41" t="s">
        <v>63</v>
      </c>
    </row>
    <row r="40" spans="1:7">
      <c r="B40" s="17">
        <f>E36</f>
        <v>119.06666666666666</v>
      </c>
      <c r="C40" s="19">
        <v>0.09</v>
      </c>
      <c r="D40" s="29">
        <f>B40*C40</f>
        <v>10.715999999999999</v>
      </c>
    </row>
    <row r="42" spans="1:7">
      <c r="A42" s="31" t="s">
        <v>72</v>
      </c>
    </row>
    <row r="43" spans="1:7">
      <c r="A43" t="s">
        <v>73</v>
      </c>
    </row>
    <row r="44" spans="1:7">
      <c r="B44" s="17">
        <f>B11</f>
        <v>89.3</v>
      </c>
      <c r="C44" s="17">
        <v>30</v>
      </c>
      <c r="D44" s="17">
        <v>360</v>
      </c>
      <c r="E44" s="17">
        <v>7</v>
      </c>
      <c r="F44" s="17">
        <f>B44*C44/D44*E44</f>
        <v>52.091666666666669</v>
      </c>
    </row>
    <row r="45" spans="1:7">
      <c r="D45" t="s">
        <v>74</v>
      </c>
      <c r="E45" s="17">
        <v>2</v>
      </c>
      <c r="F45" s="29">
        <f>F44*E45</f>
        <v>104.18333333333334</v>
      </c>
    </row>
    <row r="47" spans="1:7">
      <c r="A47" s="15" t="s">
        <v>75</v>
      </c>
    </row>
    <row r="48" spans="1:7">
      <c r="A48" t="s">
        <v>76</v>
      </c>
    </row>
    <row r="49" spans="1:5">
      <c r="A49" t="s">
        <v>77</v>
      </c>
      <c r="C49" s="17">
        <f>B11</f>
        <v>89.3</v>
      </c>
      <c r="D49" s="17">
        <v>8</v>
      </c>
      <c r="E49" s="17">
        <f>C49/D49</f>
        <v>11.1625</v>
      </c>
    </row>
    <row r="51" spans="1:5">
      <c r="C51" s="13" t="s">
        <v>78</v>
      </c>
      <c r="D51" s="13" t="s">
        <v>79</v>
      </c>
      <c r="E51" s="13" t="s">
        <v>80</v>
      </c>
    </row>
    <row r="52" spans="1:5">
      <c r="A52" t="s">
        <v>81</v>
      </c>
      <c r="B52" s="19">
        <v>0.6</v>
      </c>
      <c r="C52" s="17">
        <v>6</v>
      </c>
      <c r="D52" s="17">
        <f>E49</f>
        <v>11.1625</v>
      </c>
      <c r="E52" s="17">
        <f>D52*(B52+1)*C52</f>
        <v>107.16</v>
      </c>
    </row>
    <row r="53" spans="1:5">
      <c r="A53" t="s">
        <v>82</v>
      </c>
      <c r="B53" s="19">
        <v>1</v>
      </c>
      <c r="C53" s="17">
        <v>3</v>
      </c>
      <c r="D53" s="17">
        <f>E49</f>
        <v>11.1625</v>
      </c>
      <c r="E53" s="17">
        <f>D53*(B53+1)*C53</f>
        <v>66.974999999999994</v>
      </c>
    </row>
    <row r="54" spans="1:5">
      <c r="A54" s="13" t="s">
        <v>83</v>
      </c>
      <c r="C54" s="18">
        <f>SUM(C52:C53)</f>
        <v>9</v>
      </c>
      <c r="E54" s="29">
        <f>SUM(E52:E53)</f>
        <v>174.13499999999999</v>
      </c>
    </row>
    <row r="56" spans="1:5">
      <c r="A56" s="15" t="s">
        <v>84</v>
      </c>
    </row>
    <row r="57" spans="1:5">
      <c r="A57" t="s">
        <v>85</v>
      </c>
    </row>
    <row r="58" spans="1:5">
      <c r="B58" s="17">
        <f>ROUND(E49,2)</f>
        <v>11.16</v>
      </c>
      <c r="C58" s="17">
        <f>C54</f>
        <v>9</v>
      </c>
      <c r="D58" s="29">
        <f>B58*C58</f>
        <v>100.44</v>
      </c>
    </row>
    <row r="61" spans="1:5" ht="15.75">
      <c r="A61" s="20" t="s">
        <v>22</v>
      </c>
      <c r="D61" s="21">
        <f>D11+D15+D19+D23+D27+D31+E36+D40+F45+E54+D58</f>
        <v>1490.6469999999999</v>
      </c>
    </row>
    <row r="63" spans="1:5">
      <c r="A63" s="22" t="s">
        <v>86</v>
      </c>
    </row>
    <row r="64" spans="1:5">
      <c r="A64" t="s">
        <v>87</v>
      </c>
    </row>
    <row r="65" spans="1:4">
      <c r="D65" s="23">
        <f>D11+D15+D19+D31+F45+E54</f>
        <v>1128.4543333333334</v>
      </c>
    </row>
    <row r="66" spans="1:4">
      <c r="A66" s="1" t="s">
        <v>88</v>
      </c>
    </row>
    <row r="69" spans="1:4">
      <c r="A69" s="24" t="s">
        <v>89</v>
      </c>
    </row>
    <row r="70" spans="1:4">
      <c r="A70" t="s">
        <v>49</v>
      </c>
      <c r="B70" s="19">
        <v>0.13</v>
      </c>
      <c r="C70" s="17">
        <f>$D$65*B70</f>
        <v>146.69906333333333</v>
      </c>
    </row>
    <row r="71" spans="1:4">
      <c r="A71" t="s">
        <v>90</v>
      </c>
      <c r="B71" s="19">
        <v>0.02</v>
      </c>
      <c r="C71" s="17">
        <f>$D$65*B71</f>
        <v>22.569086666666667</v>
      </c>
    </row>
    <row r="72" spans="1:4">
      <c r="A72" s="13" t="s">
        <v>91</v>
      </c>
      <c r="C72" s="18">
        <f>SUM(C70:C71)</f>
        <v>169.26814999999999</v>
      </c>
    </row>
    <row r="74" spans="1:4" ht="15.75">
      <c r="A74" s="20" t="s">
        <v>92</v>
      </c>
      <c r="D74" s="21">
        <f>D61-C72</f>
        <v>1321.3788500000001</v>
      </c>
    </row>
    <row r="77" spans="1:4">
      <c r="A77" s="24" t="s">
        <v>93</v>
      </c>
    </row>
    <row r="78" spans="1:4">
      <c r="A78" t="s">
        <v>94</v>
      </c>
      <c r="B78" s="19">
        <v>0.09</v>
      </c>
      <c r="C78" s="17">
        <f>$D$65*B78</f>
        <v>101.56089</v>
      </c>
    </row>
    <row r="79" spans="1:4">
      <c r="A79" t="s">
        <v>95</v>
      </c>
      <c r="B79" s="25">
        <v>2E-3</v>
      </c>
      <c r="C79" s="17">
        <f>$D$65*B79</f>
        <v>2.2569086666666669</v>
      </c>
    </row>
    <row r="80" spans="1:4">
      <c r="A80" s="13" t="s">
        <v>96</v>
      </c>
      <c r="C80" s="18">
        <f>SUM(C78:C79)</f>
        <v>103.81779866666666</v>
      </c>
    </row>
    <row r="83" spans="1:9" ht="15.75">
      <c r="A83" s="26" t="s">
        <v>97</v>
      </c>
      <c r="D83" s="27">
        <f>D61+C80</f>
        <v>1594.4647986666666</v>
      </c>
    </row>
    <row r="86" spans="1:9">
      <c r="A86" s="13" t="s">
        <v>98</v>
      </c>
    </row>
    <row r="87" spans="1:9">
      <c r="A87" s="43" t="s">
        <v>99</v>
      </c>
      <c r="B87" s="43"/>
      <c r="C87" s="43"/>
      <c r="D87" s="43"/>
      <c r="E87" s="43"/>
      <c r="F87" s="43"/>
      <c r="G87" s="43"/>
    </row>
    <row r="88" spans="1:9">
      <c r="A88" s="43" t="s">
        <v>100</v>
      </c>
      <c r="B88" s="43"/>
      <c r="C88" s="43"/>
      <c r="D88" s="43"/>
      <c r="E88" s="43"/>
      <c r="F88" s="43"/>
      <c r="G88" s="43"/>
    </row>
    <row r="90" spans="1:9">
      <c r="G90" s="17">
        <f>SUM(G92:G262)</f>
        <v>4510.3084473333338</v>
      </c>
      <c r="H90" s="17">
        <f>SUM(H92:H262)</f>
        <v>4510.3084473333338</v>
      </c>
      <c r="I90" s="17">
        <f>G90-H90</f>
        <v>0</v>
      </c>
    </row>
    <row r="91" spans="1:9">
      <c r="E91" s="30" t="s">
        <v>101</v>
      </c>
      <c r="F91" t="s">
        <v>102</v>
      </c>
      <c r="G91" s="30" t="s">
        <v>103</v>
      </c>
      <c r="H91" s="30" t="s">
        <v>104</v>
      </c>
    </row>
    <row r="92" spans="1:9">
      <c r="C92" t="s">
        <v>105</v>
      </c>
      <c r="E92" s="32">
        <v>6211</v>
      </c>
      <c r="F92" s="32" t="s">
        <v>106</v>
      </c>
      <c r="G92" s="33">
        <f>D11</f>
        <v>535.79999999999995</v>
      </c>
    </row>
    <row r="93" spans="1:9">
      <c r="E93" s="32">
        <v>6214</v>
      </c>
      <c r="F93" s="32" t="s">
        <v>17</v>
      </c>
      <c r="G93" s="33">
        <f>E36</f>
        <v>119.06666666666666</v>
      </c>
    </row>
    <row r="94" spans="1:9">
      <c r="E94" s="32">
        <v>6215</v>
      </c>
      <c r="F94" s="32" t="s">
        <v>16</v>
      </c>
      <c r="G94" s="33">
        <f>D31</f>
        <v>53.58</v>
      </c>
    </row>
    <row r="95" spans="1:9">
      <c r="E95" s="34">
        <v>6221</v>
      </c>
      <c r="F95" s="34" t="s">
        <v>107</v>
      </c>
      <c r="G95" s="35">
        <f>D15</f>
        <v>89.3</v>
      </c>
    </row>
    <row r="96" spans="1:9">
      <c r="E96" s="34">
        <v>6222</v>
      </c>
      <c r="F96" s="34" t="s">
        <v>11</v>
      </c>
      <c r="G96" s="35">
        <f>D19</f>
        <v>171.45599999999999</v>
      </c>
    </row>
    <row r="97" spans="3:8">
      <c r="E97" s="34">
        <v>6223</v>
      </c>
      <c r="F97" s="34" t="s">
        <v>12</v>
      </c>
      <c r="G97" s="35">
        <f>D23</f>
        <v>51.599999999999994</v>
      </c>
    </row>
    <row r="98" spans="3:8">
      <c r="E98" s="34">
        <v>6224</v>
      </c>
      <c r="F98" s="34" t="s">
        <v>108</v>
      </c>
      <c r="G98" s="35">
        <f>D40</f>
        <v>10.715999999999999</v>
      </c>
    </row>
    <row r="99" spans="3:8">
      <c r="E99" s="34">
        <v>6225</v>
      </c>
      <c r="F99" s="34" t="s">
        <v>109</v>
      </c>
      <c r="G99" s="35">
        <f>F45</f>
        <v>104.18333333333334</v>
      </c>
    </row>
    <row r="100" spans="3:8">
      <c r="E100" s="34">
        <v>6226</v>
      </c>
      <c r="F100" s="34" t="s">
        <v>110</v>
      </c>
      <c r="G100" s="35">
        <f>E54</f>
        <v>174.13499999999999</v>
      </c>
    </row>
    <row r="101" spans="3:8">
      <c r="E101" s="36">
        <v>6231</v>
      </c>
      <c r="F101" s="36" t="s">
        <v>15</v>
      </c>
      <c r="G101" s="37">
        <f>D27</f>
        <v>80.36999999999999</v>
      </c>
    </row>
    <row r="102" spans="3:8">
      <c r="E102" s="36">
        <v>6232</v>
      </c>
      <c r="F102" s="36" t="s">
        <v>21</v>
      </c>
      <c r="G102" s="37">
        <f>D58</f>
        <v>100.44</v>
      </c>
    </row>
    <row r="103" spans="3:8">
      <c r="E103">
        <v>6271</v>
      </c>
      <c r="F103" t="s">
        <v>111</v>
      </c>
      <c r="G103" s="17">
        <f>C78</f>
        <v>101.56089</v>
      </c>
    </row>
    <row r="104" spans="3:8">
      <c r="E104">
        <v>6278</v>
      </c>
      <c r="F104" t="s">
        <v>112</v>
      </c>
      <c r="G104" s="17">
        <f>C79</f>
        <v>2.2569086666666669</v>
      </c>
    </row>
    <row r="105" spans="3:8">
      <c r="E105">
        <v>4031</v>
      </c>
      <c r="F105" t="s">
        <v>111</v>
      </c>
      <c r="H105" s="17">
        <f>G103</f>
        <v>101.56089</v>
      </c>
    </row>
    <row r="106" spans="3:8">
      <c r="E106">
        <v>4032</v>
      </c>
      <c r="F106" t="s">
        <v>49</v>
      </c>
      <c r="H106" s="17">
        <f>C70</f>
        <v>146.69906333333333</v>
      </c>
    </row>
    <row r="107" spans="3:8">
      <c r="E107">
        <v>4034</v>
      </c>
      <c r="F107" t="s">
        <v>112</v>
      </c>
      <c r="H107" s="17">
        <f>G104</f>
        <v>2.2569086666666669</v>
      </c>
    </row>
    <row r="108" spans="3:8">
      <c r="E108">
        <v>40391</v>
      </c>
      <c r="F108" t="s">
        <v>90</v>
      </c>
      <c r="H108" s="17">
        <f>C71</f>
        <v>22.569086666666667</v>
      </c>
    </row>
    <row r="109" spans="3:8">
      <c r="E109">
        <v>4111</v>
      </c>
      <c r="F109" t="s">
        <v>113</v>
      </c>
      <c r="H109" s="17">
        <f>D74</f>
        <v>1321.3788500000001</v>
      </c>
    </row>
    <row r="110" spans="3:8">
      <c r="C110" t="s">
        <v>114</v>
      </c>
      <c r="E110">
        <v>4111</v>
      </c>
      <c r="F110" t="s">
        <v>113</v>
      </c>
      <c r="G110" s="17">
        <f>H109</f>
        <v>1321.3788500000001</v>
      </c>
    </row>
    <row r="111" spans="3:8">
      <c r="E111">
        <v>1041</v>
      </c>
      <c r="F111" t="s">
        <v>113</v>
      </c>
      <c r="H111" s="17">
        <f>G110</f>
        <v>1321.3788500000001</v>
      </c>
    </row>
    <row r="112" spans="3:8">
      <c r="C112" t="s">
        <v>115</v>
      </c>
      <c r="E112">
        <v>91</v>
      </c>
      <c r="G112" s="17">
        <f>SUM(G92:G104)</f>
        <v>1594.4647986666666</v>
      </c>
    </row>
    <row r="113" spans="5:8">
      <c r="E113">
        <v>79</v>
      </c>
      <c r="H113" s="17">
        <f>G112</f>
        <v>1594.4647986666666</v>
      </c>
    </row>
  </sheetData>
  <mergeCells count="4">
    <mergeCell ref="A1:G1"/>
    <mergeCell ref="A2:G2"/>
    <mergeCell ref="A87:G87"/>
    <mergeCell ref="A88:G8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8"/>
  <sheetViews>
    <sheetView showGridLines="0" topLeftCell="A66" zoomScale="126" zoomScaleNormal="100" workbookViewId="0">
      <selection activeCell="B36" sqref="B36"/>
    </sheetView>
  </sheetViews>
  <sheetFormatPr defaultColWidth="8.7109375" defaultRowHeight="14.25"/>
  <cols>
    <col min="1" max="1" width="32" customWidth="1"/>
    <col min="2" max="3" width="12" customWidth="1"/>
    <col min="4" max="6" width="13" customWidth="1"/>
    <col min="7" max="7" width="14" customWidth="1"/>
    <col min="8" max="9" width="13" customWidth="1"/>
    <col min="10" max="10" width="36.5703125" bestFit="1" customWidth="1"/>
  </cols>
  <sheetData>
    <row r="1" spans="1:7" ht="18">
      <c r="A1" s="38" t="s">
        <v>40</v>
      </c>
      <c r="B1" s="38"/>
      <c r="C1" s="38"/>
      <c r="D1" s="38"/>
      <c r="E1" s="38"/>
      <c r="F1" s="38"/>
      <c r="G1" s="38"/>
    </row>
    <row r="2" spans="1:7">
      <c r="A2" s="39" t="s">
        <v>41</v>
      </c>
      <c r="B2" s="39"/>
      <c r="C2" s="39"/>
      <c r="D2" s="39"/>
      <c r="E2" s="39"/>
      <c r="F2" s="39"/>
      <c r="G2" s="39"/>
    </row>
    <row r="4" spans="1:7" ht="15.75">
      <c r="A4" s="13" t="s">
        <v>42</v>
      </c>
      <c r="B4" s="14" t="s">
        <v>116</v>
      </c>
    </row>
    <row r="5" spans="1:7">
      <c r="A5" s="13" t="s">
        <v>44</v>
      </c>
      <c r="B5" t="s">
        <v>117</v>
      </c>
    </row>
    <row r="6" spans="1:7">
      <c r="A6" s="13" t="s">
        <v>46</v>
      </c>
      <c r="B6" t="s">
        <v>47</v>
      </c>
    </row>
    <row r="7" spans="1:7">
      <c r="A7" s="13" t="s">
        <v>48</v>
      </c>
      <c r="B7" t="s">
        <v>49</v>
      </c>
    </row>
    <row r="9" spans="1:7">
      <c r="A9" s="15" t="s">
        <v>50</v>
      </c>
    </row>
    <row r="10" spans="1:7">
      <c r="A10" s="16" t="s">
        <v>51</v>
      </c>
    </row>
    <row r="11" spans="1:7">
      <c r="A11" t="s">
        <v>52</v>
      </c>
      <c r="B11" s="17">
        <v>69.75</v>
      </c>
      <c r="C11" t="s">
        <v>53</v>
      </c>
      <c r="D11" s="29">
        <f>B11*6</f>
        <v>418.5</v>
      </c>
    </row>
    <row r="13" spans="1:7">
      <c r="A13" s="15" t="s">
        <v>54</v>
      </c>
    </row>
    <row r="14" spans="1:7">
      <c r="A14" t="s">
        <v>55</v>
      </c>
    </row>
    <row r="15" spans="1:7">
      <c r="B15" s="17">
        <f>B11</f>
        <v>69.75</v>
      </c>
      <c r="C15" t="s">
        <v>56</v>
      </c>
      <c r="D15" s="29">
        <f>B15</f>
        <v>69.75</v>
      </c>
    </row>
    <row r="17" spans="1:10">
      <c r="A17" s="15" t="s">
        <v>57</v>
      </c>
    </row>
    <row r="18" spans="1:10">
      <c r="A18" t="s">
        <v>118</v>
      </c>
    </row>
    <row r="19" spans="1:10">
      <c r="B19" s="17">
        <f>D11</f>
        <v>418.5</v>
      </c>
      <c r="C19" s="19">
        <v>0.3</v>
      </c>
      <c r="D19" s="29">
        <f>B19*C19</f>
        <v>125.55</v>
      </c>
    </row>
    <row r="21" spans="1:10">
      <c r="A21" s="15" t="s">
        <v>59</v>
      </c>
    </row>
    <row r="22" spans="1:10">
      <c r="A22" t="s">
        <v>60</v>
      </c>
    </row>
    <row r="23" spans="1:10">
      <c r="B23" s="17">
        <v>8.6</v>
      </c>
      <c r="C23" t="s">
        <v>53</v>
      </c>
      <c r="D23" s="29">
        <f>B23*6</f>
        <v>51.599999999999994</v>
      </c>
    </row>
    <row r="25" spans="1:10">
      <c r="A25" s="15" t="s">
        <v>119</v>
      </c>
    </row>
    <row r="26" spans="1:10">
      <c r="A26" t="s">
        <v>120</v>
      </c>
    </row>
    <row r="27" spans="1:10">
      <c r="B27" s="17">
        <v>2.5</v>
      </c>
      <c r="C27" t="s">
        <v>53</v>
      </c>
      <c r="D27" s="29">
        <f>B27*6</f>
        <v>15</v>
      </c>
      <c r="E27" t="s">
        <v>121</v>
      </c>
    </row>
    <row r="29" spans="1:10">
      <c r="A29" s="15" t="s">
        <v>122</v>
      </c>
    </row>
    <row r="30" spans="1:10" ht="45.75">
      <c r="A30" t="s">
        <v>123</v>
      </c>
      <c r="F30" t="s">
        <v>124</v>
      </c>
      <c r="J30" s="41" t="s">
        <v>125</v>
      </c>
    </row>
    <row r="31" spans="1:10">
      <c r="B31" s="17">
        <f>B11</f>
        <v>69.75</v>
      </c>
      <c r="C31" s="19">
        <v>0.08</v>
      </c>
      <c r="D31" s="29">
        <f>B31*C31</f>
        <v>5.58</v>
      </c>
      <c r="E31" t="s">
        <v>53</v>
      </c>
      <c r="F31" s="18">
        <f>D31*6</f>
        <v>33.480000000000004</v>
      </c>
    </row>
    <row r="33" spans="1:7">
      <c r="A33" s="15" t="s">
        <v>61</v>
      </c>
    </row>
    <row r="34" spans="1:7">
      <c r="A34" t="s">
        <v>62</v>
      </c>
    </row>
    <row r="35" spans="1:7">
      <c r="B35" s="17">
        <f>D11</f>
        <v>418.5</v>
      </c>
      <c r="C35" s="19">
        <v>0.15</v>
      </c>
      <c r="D35" s="29">
        <f>B35*C35</f>
        <v>62.774999999999999</v>
      </c>
    </row>
    <row r="37" spans="1:7">
      <c r="A37" s="15" t="s">
        <v>64</v>
      </c>
    </row>
    <row r="38" spans="1:7">
      <c r="A38" t="s">
        <v>65</v>
      </c>
    </row>
    <row r="39" spans="1:7">
      <c r="B39" s="17">
        <f>D11</f>
        <v>418.5</v>
      </c>
      <c r="C39" s="19">
        <v>0.1</v>
      </c>
      <c r="D39" s="29">
        <f>B39*C39</f>
        <v>41.85</v>
      </c>
    </row>
    <row r="41" spans="1:7">
      <c r="A41" s="15" t="s">
        <v>66</v>
      </c>
    </row>
    <row r="42" spans="1:7">
      <c r="A42" t="s">
        <v>67</v>
      </c>
    </row>
    <row r="43" spans="1:7">
      <c r="A43" t="s">
        <v>68</v>
      </c>
      <c r="B43" s="17">
        <f>B11</f>
        <v>69.75</v>
      </c>
      <c r="C43" s="17">
        <v>40</v>
      </c>
      <c r="D43" s="17">
        <f>B43*C43</f>
        <v>2790</v>
      </c>
      <c r="E43" s="17">
        <v>7</v>
      </c>
      <c r="F43" s="17">
        <v>30</v>
      </c>
      <c r="G43" s="17">
        <f>D43/E43/F43</f>
        <v>13.285714285714285</v>
      </c>
    </row>
    <row r="44" spans="1:7">
      <c r="A44" t="s">
        <v>69</v>
      </c>
      <c r="C44" s="17">
        <f>G43</f>
        <v>13.285714285714285</v>
      </c>
      <c r="D44" s="17">
        <v>7</v>
      </c>
      <c r="E44" s="29">
        <f>C44*D44</f>
        <v>93</v>
      </c>
    </row>
    <row r="46" spans="1:7">
      <c r="A46" s="15" t="s">
        <v>70</v>
      </c>
    </row>
    <row r="47" spans="1:7">
      <c r="A47" t="s">
        <v>71</v>
      </c>
    </row>
    <row r="48" spans="1:7">
      <c r="B48" s="17">
        <f>E44</f>
        <v>93</v>
      </c>
      <c r="C48" s="19">
        <v>0.09</v>
      </c>
      <c r="D48" s="29">
        <f>B48*C48</f>
        <v>8.3699999999999992</v>
      </c>
    </row>
    <row r="50" spans="1:6">
      <c r="A50" s="15" t="s">
        <v>126</v>
      </c>
    </row>
    <row r="51" spans="1:6">
      <c r="A51" t="s">
        <v>73</v>
      </c>
    </row>
    <row r="52" spans="1:6">
      <c r="B52" s="17">
        <f>B11</f>
        <v>69.75</v>
      </c>
      <c r="C52" s="17">
        <v>30</v>
      </c>
      <c r="D52" s="17">
        <v>360</v>
      </c>
      <c r="E52" s="17">
        <v>7</v>
      </c>
      <c r="F52" s="17">
        <f>B52*C52/D52*E52</f>
        <v>40.6875</v>
      </c>
    </row>
    <row r="53" spans="1:6">
      <c r="D53" t="s">
        <v>74</v>
      </c>
      <c r="E53" s="17">
        <v>1</v>
      </c>
      <c r="F53" s="29">
        <f>F52*E53</f>
        <v>40.6875</v>
      </c>
    </row>
    <row r="55" spans="1:6">
      <c r="A55" s="15" t="s">
        <v>75</v>
      </c>
    </row>
    <row r="56" spans="1:6">
      <c r="A56" t="s">
        <v>127</v>
      </c>
    </row>
    <row r="57" spans="1:6">
      <c r="A57" t="s">
        <v>77</v>
      </c>
      <c r="C57" s="17">
        <f>B11</f>
        <v>69.75</v>
      </c>
      <c r="D57" s="17">
        <v>8</v>
      </c>
      <c r="E57" s="17">
        <f>C57/D57</f>
        <v>8.71875</v>
      </c>
    </row>
    <row r="59" spans="1:6">
      <c r="C59" s="13" t="s">
        <v>78</v>
      </c>
      <c r="D59" s="13" t="s">
        <v>79</v>
      </c>
      <c r="E59" s="13" t="s">
        <v>80</v>
      </c>
    </row>
    <row r="60" spans="1:6">
      <c r="A60" t="s">
        <v>81</v>
      </c>
      <c r="B60" s="19">
        <v>0.6</v>
      </c>
      <c r="C60" s="17">
        <v>4</v>
      </c>
      <c r="D60" s="17">
        <f>E57</f>
        <v>8.71875</v>
      </c>
      <c r="E60" s="17">
        <f>D60*(B60+1)*C60</f>
        <v>55.800000000000004</v>
      </c>
    </row>
    <row r="61" spans="1:6">
      <c r="A61" t="s">
        <v>82</v>
      </c>
      <c r="B61" s="19">
        <v>1</v>
      </c>
      <c r="C61" s="17">
        <v>6</v>
      </c>
      <c r="D61" s="17">
        <f>E57</f>
        <v>8.71875</v>
      </c>
      <c r="E61" s="17">
        <f>D61*(B61+1)*C61</f>
        <v>104.625</v>
      </c>
    </row>
    <row r="62" spans="1:6">
      <c r="A62" s="13" t="s">
        <v>83</v>
      </c>
      <c r="C62" s="18">
        <f>SUM(C60:C61)</f>
        <v>10</v>
      </c>
      <c r="E62" s="29">
        <f>SUM(E60:E61)</f>
        <v>160.42500000000001</v>
      </c>
    </row>
    <row r="64" spans="1:6">
      <c r="A64" s="31" t="s">
        <v>84</v>
      </c>
    </row>
    <row r="65" spans="1:4">
      <c r="A65" t="s">
        <v>85</v>
      </c>
    </row>
    <row r="66" spans="1:4">
      <c r="B66" s="17">
        <f>ROUND(E57,2)</f>
        <v>8.7200000000000006</v>
      </c>
      <c r="C66" s="17">
        <f>C62</f>
        <v>10</v>
      </c>
      <c r="D66" s="29">
        <f>B66*C66</f>
        <v>87.2</v>
      </c>
    </row>
    <row r="69" spans="1:4" ht="15.75">
      <c r="A69" s="20" t="s">
        <v>22</v>
      </c>
      <c r="D69" s="21">
        <f>D11+D15+D19+D23+D27+D31+D35+D39+E44+D48+F53+E62+D66</f>
        <v>1180.2875000000001</v>
      </c>
    </row>
    <row r="71" spans="1:4">
      <c r="A71" s="22" t="s">
        <v>86</v>
      </c>
    </row>
    <row r="72" spans="1:4">
      <c r="A72" t="s">
        <v>87</v>
      </c>
    </row>
    <row r="73" spans="1:4">
      <c r="D73" s="23">
        <f>D11+D15+D19+D39+F53+E62+D27+F31</f>
        <v>905.24250000000006</v>
      </c>
    </row>
    <row r="74" spans="1:4">
      <c r="A74" s="1" t="s">
        <v>88</v>
      </c>
    </row>
    <row r="77" spans="1:4">
      <c r="A77" s="24" t="s">
        <v>89</v>
      </c>
    </row>
    <row r="78" spans="1:4">
      <c r="A78" t="s">
        <v>49</v>
      </c>
      <c r="B78" s="19">
        <v>0.13</v>
      </c>
      <c r="C78" s="17">
        <f>$D$73*B78</f>
        <v>117.68152500000001</v>
      </c>
    </row>
    <row r="79" spans="1:4">
      <c r="A79" t="s">
        <v>90</v>
      </c>
      <c r="B79" s="19">
        <v>0.02</v>
      </c>
      <c r="C79" s="17">
        <f>$D$73*B79</f>
        <v>18.104850000000003</v>
      </c>
    </row>
    <row r="80" spans="1:4">
      <c r="A80" s="13" t="s">
        <v>91</v>
      </c>
      <c r="C80" s="18">
        <f>SUM(C78:C79)</f>
        <v>135.78637500000002</v>
      </c>
    </row>
    <row r="82" spans="1:7" ht="15.75">
      <c r="A82" s="20" t="s">
        <v>92</v>
      </c>
      <c r="D82" s="21">
        <f>D69-C80</f>
        <v>1044.5011250000002</v>
      </c>
    </row>
    <row r="85" spans="1:7">
      <c r="A85" s="24" t="s">
        <v>93</v>
      </c>
    </row>
    <row r="86" spans="1:7">
      <c r="A86" t="s">
        <v>94</v>
      </c>
      <c r="B86" s="19">
        <v>0.09</v>
      </c>
      <c r="C86" s="17">
        <f>$D$73*B86</f>
        <v>81.47182500000001</v>
      </c>
    </row>
    <row r="87" spans="1:7">
      <c r="A87" t="s">
        <v>95</v>
      </c>
      <c r="B87" s="25">
        <v>2E-3</v>
      </c>
      <c r="C87" s="17">
        <f>$D$73*B87</f>
        <v>1.8104850000000001</v>
      </c>
    </row>
    <row r="88" spans="1:7">
      <c r="A88" s="13" t="s">
        <v>96</v>
      </c>
      <c r="C88" s="18">
        <f>SUM(C86:C87)</f>
        <v>83.28231000000001</v>
      </c>
    </row>
    <row r="91" spans="1:7" ht="15.75">
      <c r="A91" s="26" t="s">
        <v>97</v>
      </c>
      <c r="D91" s="27">
        <f>D69+C88</f>
        <v>1263.5698100000002</v>
      </c>
    </row>
    <row r="94" spans="1:7">
      <c r="A94" s="13" t="s">
        <v>98</v>
      </c>
    </row>
    <row r="95" spans="1:7">
      <c r="A95" s="43" t="s">
        <v>128</v>
      </c>
      <c r="B95" s="43"/>
      <c r="C95" s="43"/>
      <c r="D95" s="43"/>
      <c r="E95" s="43"/>
      <c r="F95" s="43"/>
      <c r="G95" s="43"/>
    </row>
    <row r="96" spans="1:7">
      <c r="A96" s="43" t="s">
        <v>129</v>
      </c>
      <c r="B96" s="43"/>
      <c r="C96" s="43"/>
      <c r="D96" s="43"/>
      <c r="E96" s="43"/>
      <c r="F96" s="43"/>
      <c r="G96" s="43"/>
    </row>
    <row r="97" spans="1:7">
      <c r="A97" s="43" t="s">
        <v>130</v>
      </c>
      <c r="B97" s="43"/>
      <c r="C97" s="43"/>
      <c r="D97" s="43"/>
      <c r="E97" s="43"/>
      <c r="F97" s="43"/>
      <c r="G97" s="43"/>
    </row>
    <row r="98" spans="1:7">
      <c r="A98" s="43" t="s">
        <v>131</v>
      </c>
      <c r="B98" s="43"/>
      <c r="C98" s="43"/>
      <c r="D98" s="43"/>
      <c r="E98" s="43"/>
      <c r="F98" s="43"/>
      <c r="G98" s="43"/>
    </row>
  </sheetData>
  <mergeCells count="6">
    <mergeCell ref="A98:G98"/>
    <mergeCell ref="A1:G1"/>
    <mergeCell ref="A2:G2"/>
    <mergeCell ref="A95:G95"/>
    <mergeCell ref="A96:G96"/>
    <mergeCell ref="A97:G9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2"/>
  <sheetViews>
    <sheetView showGridLines="0" tabSelected="1" topLeftCell="A48" zoomScale="184" zoomScaleNormal="100" workbookViewId="0">
      <selection activeCell="C6" sqref="C6"/>
    </sheetView>
  </sheetViews>
  <sheetFormatPr defaultColWidth="8.7109375" defaultRowHeight="14.25"/>
  <cols>
    <col min="1" max="1" width="32" customWidth="1"/>
    <col min="2" max="3" width="12" customWidth="1"/>
    <col min="4" max="6" width="13" customWidth="1"/>
    <col min="7" max="7" width="14" customWidth="1"/>
    <col min="8" max="9" width="13" customWidth="1"/>
  </cols>
  <sheetData>
    <row r="1" spans="1:7" ht="18">
      <c r="A1" s="38" t="s">
        <v>40</v>
      </c>
      <c r="B1" s="38"/>
      <c r="C1" s="38"/>
      <c r="D1" s="38"/>
      <c r="E1" s="38"/>
      <c r="F1" s="38"/>
      <c r="G1" s="38"/>
    </row>
    <row r="2" spans="1:7">
      <c r="A2" s="39" t="s">
        <v>41</v>
      </c>
      <c r="B2" s="39"/>
      <c r="C2" s="39"/>
      <c r="D2" s="39"/>
      <c r="E2" s="39"/>
      <c r="F2" s="39"/>
      <c r="G2" s="39"/>
    </row>
    <row r="4" spans="1:7" ht="15.75">
      <c r="A4" s="13" t="s">
        <v>42</v>
      </c>
      <c r="B4" s="14" t="s">
        <v>132</v>
      </c>
    </row>
    <row r="5" spans="1:7">
      <c r="A5" s="13" t="s">
        <v>44</v>
      </c>
      <c r="B5" t="s">
        <v>133</v>
      </c>
    </row>
    <row r="6" spans="1:7">
      <c r="A6" s="13" t="s">
        <v>46</v>
      </c>
      <c r="B6" t="s">
        <v>47</v>
      </c>
    </row>
    <row r="7" spans="1:7">
      <c r="A7" s="13" t="s">
        <v>48</v>
      </c>
      <c r="B7" t="s">
        <v>49</v>
      </c>
    </row>
    <row r="9" spans="1:7">
      <c r="A9" s="15" t="s">
        <v>50</v>
      </c>
    </row>
    <row r="10" spans="1:7">
      <c r="A10" s="16" t="s">
        <v>51</v>
      </c>
    </row>
    <row r="11" spans="1:7">
      <c r="A11" t="s">
        <v>52</v>
      </c>
      <c r="B11" s="17">
        <v>62.8</v>
      </c>
      <c r="C11" t="s">
        <v>53</v>
      </c>
      <c r="D11" s="18">
        <f>B11*6</f>
        <v>376.79999999999995</v>
      </c>
    </row>
    <row r="13" spans="1:7">
      <c r="A13" s="15" t="s">
        <v>54</v>
      </c>
    </row>
    <row r="14" spans="1:7">
      <c r="A14" t="s">
        <v>55</v>
      </c>
    </row>
    <row r="15" spans="1:7">
      <c r="B15" s="17">
        <f>B11</f>
        <v>62.8</v>
      </c>
      <c r="C15" t="s">
        <v>56</v>
      </c>
      <c r="D15" s="18">
        <f>B15</f>
        <v>62.8</v>
      </c>
    </row>
    <row r="17" spans="1:4">
      <c r="A17" s="15" t="s">
        <v>57</v>
      </c>
    </row>
    <row r="18" spans="1:4">
      <c r="A18" t="s">
        <v>134</v>
      </c>
    </row>
    <row r="19" spans="1:4">
      <c r="B19" s="17">
        <f>D11</f>
        <v>376.79999999999995</v>
      </c>
      <c r="C19" s="19">
        <v>0.3</v>
      </c>
      <c r="D19" s="18">
        <f>B19*C19</f>
        <v>113.03999999999998</v>
      </c>
    </row>
    <row r="21" spans="1:4">
      <c r="A21" s="15" t="s">
        <v>59</v>
      </c>
    </row>
    <row r="22" spans="1:4">
      <c r="A22" t="s">
        <v>60</v>
      </c>
    </row>
    <row r="23" spans="1:4">
      <c r="B23" s="17">
        <v>8.6</v>
      </c>
      <c r="C23" t="s">
        <v>53</v>
      </c>
      <c r="D23" s="18">
        <f>B23*6</f>
        <v>51.599999999999994</v>
      </c>
    </row>
    <row r="25" spans="1:4">
      <c r="A25" s="15" t="s">
        <v>119</v>
      </c>
    </row>
    <row r="26" spans="1:4">
      <c r="A26" t="s">
        <v>120</v>
      </c>
    </row>
    <row r="27" spans="1:4">
      <c r="B27" s="17">
        <v>2.5</v>
      </c>
      <c r="C27" t="s">
        <v>53</v>
      </c>
      <c r="D27" s="18">
        <f>B27*6</f>
        <v>15</v>
      </c>
    </row>
    <row r="29" spans="1:4">
      <c r="A29" s="15" t="s">
        <v>61</v>
      </c>
    </row>
    <row r="30" spans="1:4">
      <c r="A30" t="s">
        <v>62</v>
      </c>
    </row>
    <row r="31" spans="1:4">
      <c r="B31" s="17">
        <f>D11</f>
        <v>376.79999999999995</v>
      </c>
      <c r="C31" s="19">
        <v>0.15</v>
      </c>
      <c r="D31" s="18">
        <f>B31*C31</f>
        <v>56.519999999999989</v>
      </c>
    </row>
    <row r="33" spans="1:7">
      <c r="A33" s="15" t="s">
        <v>64</v>
      </c>
    </row>
    <row r="34" spans="1:7">
      <c r="A34" t="s">
        <v>65</v>
      </c>
    </row>
    <row r="35" spans="1:7">
      <c r="B35" s="17">
        <f>D11</f>
        <v>376.79999999999995</v>
      </c>
      <c r="C35" s="19">
        <v>0.1</v>
      </c>
      <c r="D35" s="18">
        <f>B35*C35</f>
        <v>37.68</v>
      </c>
    </row>
    <row r="37" spans="1:7">
      <c r="A37" s="15" t="s">
        <v>66</v>
      </c>
    </row>
    <row r="38" spans="1:7">
      <c r="A38" t="s">
        <v>67</v>
      </c>
    </row>
    <row r="39" spans="1:7">
      <c r="A39" t="s">
        <v>68</v>
      </c>
      <c r="B39" s="17">
        <f>B11</f>
        <v>62.8</v>
      </c>
      <c r="C39" s="17">
        <v>40</v>
      </c>
      <c r="D39" s="17">
        <f>B39*C39</f>
        <v>2512</v>
      </c>
      <c r="E39" s="17">
        <v>7</v>
      </c>
      <c r="F39" s="17">
        <v>30</v>
      </c>
      <c r="G39" s="17">
        <f>D39/E39/F39</f>
        <v>11.96190476190476</v>
      </c>
    </row>
    <row r="40" spans="1:7">
      <c r="A40" t="s">
        <v>69</v>
      </c>
      <c r="C40" s="17">
        <f>G39</f>
        <v>11.96190476190476</v>
      </c>
      <c r="D40" s="17">
        <v>7</v>
      </c>
      <c r="E40" s="18">
        <f>C40*D40</f>
        <v>83.73333333333332</v>
      </c>
    </row>
    <row r="42" spans="1:7">
      <c r="A42" s="15" t="s">
        <v>70</v>
      </c>
    </row>
    <row r="43" spans="1:7">
      <c r="A43" t="s">
        <v>71</v>
      </c>
    </row>
    <row r="44" spans="1:7">
      <c r="B44" s="17">
        <f>E40</f>
        <v>83.73333333333332</v>
      </c>
      <c r="C44" s="19">
        <v>0.09</v>
      </c>
      <c r="D44" s="18">
        <f>B44*C44</f>
        <v>7.5359999999999987</v>
      </c>
    </row>
    <row r="46" spans="1:7">
      <c r="A46" s="15" t="s">
        <v>126</v>
      </c>
    </row>
    <row r="47" spans="1:7">
      <c r="A47" s="28" t="s">
        <v>135</v>
      </c>
    </row>
    <row r="48" spans="1:7">
      <c r="F48" s="18">
        <v>0</v>
      </c>
    </row>
    <row r="50" spans="1:5">
      <c r="A50" s="15" t="s">
        <v>75</v>
      </c>
    </row>
    <row r="51" spans="1:5">
      <c r="A51" t="s">
        <v>136</v>
      </c>
    </row>
    <row r="52" spans="1:5">
      <c r="A52" t="s">
        <v>77</v>
      </c>
      <c r="C52" s="17">
        <f>B11</f>
        <v>62.8</v>
      </c>
      <c r="D52" s="17">
        <v>8</v>
      </c>
      <c r="E52" s="17">
        <f>C52/D52</f>
        <v>7.85</v>
      </c>
    </row>
    <row r="54" spans="1:5">
      <c r="C54" s="13" t="s">
        <v>78</v>
      </c>
      <c r="D54" s="13" t="s">
        <v>79</v>
      </c>
      <c r="E54" s="13" t="s">
        <v>80</v>
      </c>
    </row>
    <row r="55" spans="1:5">
      <c r="A55" t="s">
        <v>81</v>
      </c>
      <c r="B55" s="19">
        <v>0.6</v>
      </c>
      <c r="C55" s="17">
        <v>2</v>
      </c>
      <c r="D55" s="17">
        <f>E52</f>
        <v>7.85</v>
      </c>
      <c r="E55" s="17">
        <f>D55*(B55+1)*C55</f>
        <v>25.12</v>
      </c>
    </row>
    <row r="56" spans="1:5">
      <c r="A56" t="s">
        <v>82</v>
      </c>
      <c r="B56" s="19">
        <v>1</v>
      </c>
      <c r="C56" s="17">
        <v>0</v>
      </c>
      <c r="D56" s="17">
        <f>E52</f>
        <v>7.85</v>
      </c>
      <c r="E56" s="17">
        <f>D56*(B56+1)*C56</f>
        <v>0</v>
      </c>
    </row>
    <row r="57" spans="1:5">
      <c r="A57" s="13" t="s">
        <v>83</v>
      </c>
      <c r="C57" s="18">
        <f>SUM(C55:C56)</f>
        <v>2</v>
      </c>
      <c r="E57" s="18">
        <f>SUM(E55:E56)</f>
        <v>25.12</v>
      </c>
    </row>
    <row r="59" spans="1:5">
      <c r="A59" s="15" t="s">
        <v>84</v>
      </c>
    </row>
    <row r="60" spans="1:5">
      <c r="A60" t="s">
        <v>85</v>
      </c>
    </row>
    <row r="61" spans="1:5">
      <c r="B61" s="17">
        <f>ROUND(E52,2)</f>
        <v>7.85</v>
      </c>
      <c r="C61" s="17">
        <f>C57</f>
        <v>2</v>
      </c>
      <c r="D61" s="18">
        <f>B61*C61</f>
        <v>15.7</v>
      </c>
    </row>
    <row r="64" spans="1:5" ht="15.75">
      <c r="A64" s="20" t="s">
        <v>22</v>
      </c>
      <c r="D64" s="21">
        <f>D11+D15+D19+D23+D27+D31+D35+E40+D44+F48+E57+D61</f>
        <v>845.52933333333328</v>
      </c>
    </row>
    <row r="66" spans="1:4">
      <c r="A66" s="22" t="s">
        <v>86</v>
      </c>
    </row>
    <row r="67" spans="1:4">
      <c r="A67" t="s">
        <v>87</v>
      </c>
    </row>
    <row r="68" spans="1:4">
      <c r="D68" s="23">
        <f>D11+D15+D19+D35+F48+E57+D27</f>
        <v>630.43999999999994</v>
      </c>
    </row>
    <row r="69" spans="1:4">
      <c r="A69" s="1" t="s">
        <v>88</v>
      </c>
    </row>
    <row r="72" spans="1:4">
      <c r="A72" s="24" t="s">
        <v>89</v>
      </c>
    </row>
    <row r="73" spans="1:4">
      <c r="A73" t="s">
        <v>49</v>
      </c>
      <c r="B73" s="19">
        <v>0.13</v>
      </c>
      <c r="C73" s="17">
        <f>$D$68*B73</f>
        <v>81.9572</v>
      </c>
    </row>
    <row r="74" spans="1:4">
      <c r="A74" t="s">
        <v>90</v>
      </c>
      <c r="B74" s="19">
        <v>0.02</v>
      </c>
      <c r="C74" s="17">
        <f>$D$68*B74</f>
        <v>12.608799999999999</v>
      </c>
    </row>
    <row r="75" spans="1:4">
      <c r="A75" s="13" t="s">
        <v>91</v>
      </c>
      <c r="C75" s="18">
        <f>SUM(C73:C74)</f>
        <v>94.566000000000003</v>
      </c>
    </row>
    <row r="77" spans="1:4" ht="15.75">
      <c r="A77" s="20" t="s">
        <v>92</v>
      </c>
      <c r="D77" s="21">
        <f>D64-C75</f>
        <v>750.96333333333325</v>
      </c>
    </row>
    <row r="80" spans="1:4">
      <c r="A80" s="24" t="s">
        <v>93</v>
      </c>
    </row>
    <row r="81" spans="1:7">
      <c r="A81" t="s">
        <v>94</v>
      </c>
      <c r="B81" s="19">
        <v>0.09</v>
      </c>
      <c r="C81" s="17">
        <f>$D$68*B81</f>
        <v>56.739599999999996</v>
      </c>
    </row>
    <row r="82" spans="1:7">
      <c r="A82" t="s">
        <v>95</v>
      </c>
      <c r="B82" s="25">
        <v>2E-3</v>
      </c>
      <c r="C82" s="17">
        <f>$D$68*B82</f>
        <v>1.26088</v>
      </c>
    </row>
    <row r="83" spans="1:7">
      <c r="A83" s="13" t="s">
        <v>96</v>
      </c>
      <c r="C83" s="18">
        <f>SUM(C81:C82)</f>
        <v>58.000479999999996</v>
      </c>
    </row>
    <row r="86" spans="1:7" ht="15.75">
      <c r="A86" s="26" t="s">
        <v>97</v>
      </c>
      <c r="D86" s="27">
        <f>D64+C83</f>
        <v>903.52981333333332</v>
      </c>
    </row>
    <row r="89" spans="1:7">
      <c r="A89" s="13" t="s">
        <v>98</v>
      </c>
    </row>
    <row r="90" spans="1:7">
      <c r="A90" s="43" t="s">
        <v>137</v>
      </c>
      <c r="B90" s="43"/>
      <c r="C90" s="43"/>
      <c r="D90" s="43"/>
      <c r="E90" s="43"/>
      <c r="F90" s="43"/>
      <c r="G90" s="43"/>
    </row>
    <row r="91" spans="1:7">
      <c r="A91" s="43" t="s">
        <v>129</v>
      </c>
      <c r="B91" s="43"/>
      <c r="C91" s="43"/>
      <c r="D91" s="43"/>
      <c r="E91" s="43"/>
      <c r="F91" s="43"/>
      <c r="G91" s="43"/>
    </row>
    <row r="92" spans="1:7">
      <c r="A92" s="43" t="s">
        <v>138</v>
      </c>
      <c r="B92" s="43"/>
      <c r="C92" s="43"/>
      <c r="D92" s="43"/>
      <c r="E92" s="43"/>
      <c r="F92" s="43"/>
      <c r="G92" s="43"/>
    </row>
  </sheetData>
  <mergeCells count="5">
    <mergeCell ref="A1:G1"/>
    <mergeCell ref="A2:G2"/>
    <mergeCell ref="A90:G90"/>
    <mergeCell ref="A91:G91"/>
    <mergeCell ref="A92:G92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694CF182EF98F4DA64F228B35CA215D" ma:contentTypeVersion="3" ma:contentTypeDescription="Crear nuevo documento." ma:contentTypeScope="" ma:versionID="20b8c8e210d09dea26e2f31ea3f241f0">
  <xsd:schema xmlns:xsd="http://www.w3.org/2001/XMLSchema" xmlns:xs="http://www.w3.org/2001/XMLSchema" xmlns:p="http://schemas.microsoft.com/office/2006/metadata/properties" xmlns:ns2="04c503a6-e7e8-4c2c-8c37-8c7c54fe6ebb" targetNamespace="http://schemas.microsoft.com/office/2006/metadata/properties" ma:root="true" ma:fieldsID="353321d12ad70034b9bceda12b0ba336" ns2:_="">
    <xsd:import namespace="04c503a6-e7e8-4c2c-8c37-8c7c54fe6e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c503a6-e7e8-4c2c-8c37-8c7c54fe6e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96A33CE-C37E-4170-BBAE-EE291F86FDAA}"/>
</file>

<file path=customXml/itemProps2.xml><?xml version="1.0" encoding="utf-8"?>
<ds:datastoreItem xmlns:ds="http://schemas.openxmlformats.org/officeDocument/2006/customXml" ds:itemID="{6236F2A8-5FC3-4221-AB39-919F2454DBD5}"/>
</file>

<file path=customXml/itemProps3.xml><?xml version="1.0" encoding="utf-8"?>
<ds:datastoreItem xmlns:ds="http://schemas.openxmlformats.org/officeDocument/2006/customXml" ds:itemID="{A0F74C7D-0E4C-4D04-AB81-B1CF14DD0A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DAVID DANIEL ARAMBURU CONDORI</cp:lastModifiedBy>
  <cp:revision>0</cp:revision>
  <dcterms:created xsi:type="dcterms:W3CDTF">2026-05-14T01:47:29Z</dcterms:created>
  <dcterms:modified xsi:type="dcterms:W3CDTF">2026-06-13T23:06:53Z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0x0101004694CF182EF98F4DA64F228B35CA215D</vt:lpwstr>
  </property>
</Properties>
</file>